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Bank Reconciliations\Reconciliation\2021\"/>
    </mc:Choice>
  </mc:AlternateContent>
  <xr:revisionPtr revIDLastSave="0" documentId="13_ncr:1_{A18B1874-7C74-4CC1-BA5D-C3EE7324A679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cash" sheetId="32" r:id="rId1"/>
    <sheet name="bank" sheetId="26" r:id="rId2"/>
  </sheets>
  <functionGroups builtInGroupCount="19"/>
  <definedNames>
    <definedName name="_xlnm.Print_Titles" localSheetId="0">cash!$A:$D,cash!$1:$1</definedName>
    <definedName name="QBCANSUPPORTUPDATE" localSheetId="0">FALSE</definedName>
    <definedName name="QBCOMPANYFILENAME" localSheetId="0">"C:\Users\Public\Documents\Intuit\QuickBooks\Company Files\MACHINERIES DE TEXTILE REGENT LTÉE.qbw"</definedName>
    <definedName name="QBHEADERSONSCREEN" localSheetId="0">FALSE</definedName>
    <definedName name="QBMETADATASIZE" localSheetId="0">0</definedName>
    <definedName name="QBPRESERVECOLOR" localSheetId="0">TRUE</definedName>
    <definedName name="QBPRESERVEFONT" localSheetId="0">TRUE</definedName>
    <definedName name="QBPRESERVEROWHEIGHT" localSheetId="0">TRUE</definedName>
    <definedName name="QBPRESERVESPACE" localSheetId="0">TRUE</definedName>
    <definedName name="QBREPORTCOLAXIS" localSheetId="0">0</definedName>
    <definedName name="QBREPORTCOMPANYID" localSheetId="0">"4b7fa3f703e94ba1ac335c8d21fe21c1"</definedName>
    <definedName name="QBREPORTCOMPARECOL_ANNUALBUDGET" localSheetId="0">FALSE</definedName>
    <definedName name="QBREPORTCOMPARECOL_AVGCOGS" localSheetId="0">FALSE</definedName>
    <definedName name="QBREPORTCOMPARECOL_AVGPRICE" localSheetId="0">FALSE</definedName>
    <definedName name="QBREPORTCOMPARECOL_BUDDIFF" localSheetId="0">FALSE</definedName>
    <definedName name="QBREPORTCOMPARECOL_BUDGET" localSheetId="0">FALSE</definedName>
    <definedName name="QBREPORTCOMPARECOL_BUDPCT" localSheetId="0">FALSE</definedName>
    <definedName name="QBREPORTCOMPARECOL_COGS" localSheetId="0">FALSE</definedName>
    <definedName name="QBREPORTCOMPARECOL_EXCLUDEAMOUNT" localSheetId="0">FALSE</definedName>
    <definedName name="QBREPORTCOMPARECOL_EXCLUDECURPERIOD" localSheetId="0">FALSE</definedName>
    <definedName name="QBREPORTCOMPARECOL_FORECAST" localSheetId="0">FALSE</definedName>
    <definedName name="QBREPORTCOMPARECOL_GROSSMARGIN" localSheetId="0">FALSE</definedName>
    <definedName name="QBREPORTCOMPARECOL_GROSSMARGINPCT" localSheetId="0">FALSE</definedName>
    <definedName name="QBREPORTCOMPARECOL_HOURS" localSheetId="0">FALSE</definedName>
    <definedName name="QBREPORTCOMPARECOL_PCTCOL" localSheetId="0">FALSE</definedName>
    <definedName name="QBREPORTCOMPARECOL_PCTEXPENSE" localSheetId="0">FALSE</definedName>
    <definedName name="QBREPORTCOMPARECOL_PCTINCOME" localSheetId="0">FALSE</definedName>
    <definedName name="QBREPORTCOMPARECOL_PCTOFSALES" localSheetId="0">FALSE</definedName>
    <definedName name="QBREPORTCOMPARECOL_PCTROW" localSheetId="0">FALSE</definedName>
    <definedName name="QBREPORTCOMPARECOL_PPDIFF" localSheetId="0">FALSE</definedName>
    <definedName name="QBREPORTCOMPARECOL_PPPCT" localSheetId="0">FALSE</definedName>
    <definedName name="QBREPORTCOMPARECOL_PREVPERIOD" localSheetId="0">FALSE</definedName>
    <definedName name="QBREPORTCOMPARECOL_PREVYEAR" localSheetId="0">FALSE</definedName>
    <definedName name="QBREPORTCOMPARECOL_PYDIFF" localSheetId="0">FALSE</definedName>
    <definedName name="QBREPORTCOMPARECOL_PYPCT" localSheetId="0">FALSE</definedName>
    <definedName name="QBREPORTCOMPARECOL_QTY" localSheetId="0">FALSE</definedName>
    <definedName name="QBREPORTCOMPARECOL_RATE" localSheetId="0">FALSE</definedName>
    <definedName name="QBREPORTCOMPARECOL_TRIPBILLEDMILES" localSheetId="0">FALSE</definedName>
    <definedName name="QBREPORTCOMPARECOL_TRIPBILLINGAMOUNT" localSheetId="0">FALSE</definedName>
    <definedName name="QBREPORTCOMPARECOL_TRIPMILES" localSheetId="0">FALSE</definedName>
    <definedName name="QBREPORTCOMPARECOL_TRIPNOTBILLABLEMILES" localSheetId="0">FALSE</definedName>
    <definedName name="QBREPORTCOMPARECOL_TRIPTAXDEDUCTIBLEAMOUNT" localSheetId="0">FALSE</definedName>
    <definedName name="QBREPORTCOMPARECOL_TRIPUNBILLEDMILES" localSheetId="0">FALSE</definedName>
    <definedName name="QBREPORTCOMPARECOL_YTD" localSheetId="0">FALSE</definedName>
    <definedName name="QBREPORTCOMPARECOL_YTDBUDGET" localSheetId="0">FALSE</definedName>
    <definedName name="QBREPORTCOMPARECOL_YTDPCT" localSheetId="0">FALSE</definedName>
    <definedName name="QBREPORTROWAXIS" localSheetId="0">79</definedName>
    <definedName name="QBREPORTSUBCOLAXIS" localSheetId="0">0</definedName>
    <definedName name="QBREPORTTYPE" localSheetId="0">256</definedName>
    <definedName name="QBROWHEADERS" localSheetId="0">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1" i="32" l="1"/>
  <c r="X40" i="32"/>
  <c r="X39" i="32"/>
  <c r="X37" i="32"/>
  <c r="X36" i="32"/>
  <c r="X35" i="32"/>
  <c r="X34" i="32"/>
  <c r="X33" i="32"/>
  <c r="X32" i="32"/>
  <c r="X31" i="32"/>
  <c r="X30" i="32"/>
  <c r="X27" i="32"/>
  <c r="X26" i="32"/>
  <c r="X25" i="32"/>
  <c r="X24" i="32"/>
  <c r="X23" i="32"/>
  <c r="X22" i="32"/>
  <c r="X21" i="32"/>
  <c r="X20" i="32"/>
  <c r="X19" i="32"/>
  <c r="X18" i="32"/>
  <c r="X17" i="32"/>
  <c r="X16" i="32"/>
  <c r="X15" i="32"/>
  <c r="X14" i="32"/>
  <c r="X12" i="32"/>
  <c r="X11" i="32"/>
  <c r="X9" i="32"/>
  <c r="X8" i="32"/>
  <c r="X7" i="32"/>
  <c r="X6" i="32"/>
  <c r="X5" i="32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U45" i="32"/>
  <c r="S45" i="32"/>
  <c r="S42" i="32"/>
  <c r="U30" i="32"/>
  <c r="U31" i="32" s="1"/>
  <c r="U32" i="32" s="1"/>
  <c r="U33" i="32" s="1"/>
  <c r="U34" i="32" s="1"/>
  <c r="U35" i="32" s="1"/>
  <c r="U36" i="32" s="1"/>
  <c r="U37" i="32" s="1"/>
  <c r="U38" i="32" s="1"/>
  <c r="U39" i="32" s="1"/>
  <c r="U40" i="32" s="1"/>
  <c r="U41" i="32" s="1"/>
  <c r="U42" i="32" s="1"/>
  <c r="S28" i="32"/>
  <c r="S43" i="32" s="1"/>
  <c r="U5" i="32"/>
  <c r="U6" i="32" s="1"/>
  <c r="U7" i="32" s="1"/>
  <c r="U8" i="32" s="1"/>
  <c r="U9" i="32" s="1"/>
  <c r="U10" i="32" s="1"/>
  <c r="U11" i="32" s="1"/>
  <c r="U12" i="32" s="1"/>
  <c r="U13" i="32" s="1"/>
  <c r="U14" i="32" s="1"/>
  <c r="U15" i="32" s="1"/>
  <c r="U16" i="32" s="1"/>
  <c r="U17" i="32" s="1"/>
  <c r="U18" i="32" s="1"/>
  <c r="U19" i="32" s="1"/>
  <c r="U20" i="32" s="1"/>
  <c r="U21" i="32" s="1"/>
  <c r="U22" i="32" s="1"/>
  <c r="U23" i="32" s="1"/>
  <c r="U24" i="32" s="1"/>
  <c r="U25" i="32" s="1"/>
  <c r="U26" i="32" s="1"/>
  <c r="U27" i="32" s="1"/>
  <c r="U28" i="32" s="1"/>
  <c r="U43" i="32" s="1"/>
</calcChain>
</file>

<file path=xl/sharedStrings.xml><?xml version="1.0" encoding="utf-8"?>
<sst xmlns="http://schemas.openxmlformats.org/spreadsheetml/2006/main" count="232" uniqueCount="118">
  <si>
    <t>ACCT BAL REBATE</t>
  </si>
  <si>
    <t>MAY31</t>
  </si>
  <si>
    <t>MONTHLY PLAN FEE</t>
  </si>
  <si>
    <t>SHEERTEX INC. PAY</t>
  </si>
  <si>
    <t>MRQ PMT CODE H3Y8Y9</t>
  </si>
  <si>
    <t>RJ025 TFR-TO C/C</t>
  </si>
  <si>
    <t>TARKETT INC. AP BPY</t>
  </si>
  <si>
    <t>MAY28</t>
  </si>
  <si>
    <t>CHQ#01205-3142667666</t>
  </si>
  <si>
    <t>MAY27</t>
  </si>
  <si>
    <t>MOBILE DEPOSIT</t>
  </si>
  <si>
    <t>GOUV. QUEBEC MSP</t>
  </si>
  <si>
    <t>MAY26</t>
  </si>
  <si>
    <t>CAMBRIDGE MERC MSP</t>
  </si>
  <si>
    <t>MAY25</t>
  </si>
  <si>
    <t>CHQ#01201-4141616475</t>
  </si>
  <si>
    <t>MAY21</t>
  </si>
  <si>
    <t>CHQ#01204-3140016569</t>
  </si>
  <si>
    <t>CHQ#01200-0143869991</t>
  </si>
  <si>
    <t>CHQ#01203-0143869802</t>
  </si>
  <si>
    <t>MAY20</t>
  </si>
  <si>
    <t>210520S0067500WIRE</t>
  </si>
  <si>
    <t>CHQ#01202-1143574401</t>
  </si>
  <si>
    <t>MAY18</t>
  </si>
  <si>
    <t>RECLAIM TFR CAnc7faH</t>
  </si>
  <si>
    <t>PAY 4110400 BUS</t>
  </si>
  <si>
    <t>MAY17</t>
  </si>
  <si>
    <t>EMPTX 4103632 BUS</t>
  </si>
  <si>
    <t>UP444 TFR-TO C/C</t>
  </si>
  <si>
    <t>CHQ#01198-2144680552</t>
  </si>
  <si>
    <t>MAY14</t>
  </si>
  <si>
    <t>SEND E-TFR CAnc7faH</t>
  </si>
  <si>
    <t>CHQ#01187-3140909876</t>
  </si>
  <si>
    <t>MAY13</t>
  </si>
  <si>
    <t>MAY11</t>
  </si>
  <si>
    <t>MAY10</t>
  </si>
  <si>
    <t>VESTECHPRO MSP</t>
  </si>
  <si>
    <t>MAY05</t>
  </si>
  <si>
    <t>MAY04</t>
  </si>
  <si>
    <t>TAX PYT FEE</t>
  </si>
  <si>
    <t>MAY03</t>
  </si>
  <si>
    <t>VDEOTRN LTEE L9U3U4</t>
  </si>
  <si>
    <t>Cr</t>
  </si>
  <si>
    <t>Dr</t>
  </si>
  <si>
    <t>DESCRIPTION</t>
  </si>
  <si>
    <t>DATE</t>
  </si>
  <si>
    <t>Trans #</t>
  </si>
  <si>
    <t>Type</t>
  </si>
  <si>
    <t>Date</t>
  </si>
  <si>
    <t>Num</t>
  </si>
  <si>
    <t>Name</t>
  </si>
  <si>
    <t>Memo</t>
  </si>
  <si>
    <t>Clr</t>
  </si>
  <si>
    <t>Amount</t>
  </si>
  <si>
    <t>Balance</t>
  </si>
  <si>
    <t>Beginning Balance</t>
  </si>
  <si>
    <t>Cleared Transactions</t>
  </si>
  <si>
    <t>Cheques and Payments - 23 items</t>
  </si>
  <si>
    <t>Bill Pmt -Cheque</t>
  </si>
  <si>
    <t>1198</t>
  </si>
  <si>
    <t>Dixie Dyeing</t>
  </si>
  <si>
    <t>54354</t>
  </si>
  <si>
    <t>Ö</t>
  </si>
  <si>
    <t>Cheque</t>
  </si>
  <si>
    <t>TD Canada Trust</t>
  </si>
  <si>
    <t>Cambridge DEFT, e-Funds transfer Deal# 12540343</t>
  </si>
  <si>
    <t>Transfer</t>
  </si>
  <si>
    <t>Achat devise Deal #12548785</t>
  </si>
  <si>
    <t>L9U3U4</t>
  </si>
  <si>
    <t>VIDEOTRON</t>
  </si>
  <si>
    <t>Cambridge Deal # 12586870</t>
  </si>
  <si>
    <t>1187</t>
  </si>
  <si>
    <t>Parcelz</t>
  </si>
  <si>
    <t>332865390-332878931</t>
  </si>
  <si>
    <t>Cambridge  Deal #12587138</t>
  </si>
  <si>
    <t>Cambridge transfer for Memminger-iro Gmbh</t>
  </si>
  <si>
    <t>1202</t>
  </si>
  <si>
    <t>ZHI HUI HOU</t>
  </si>
  <si>
    <t>for April 25 to May 8</t>
  </si>
  <si>
    <t>Cambridge Deal #EBKH0124</t>
  </si>
  <si>
    <t>1278</t>
  </si>
  <si>
    <t>Ministère du Revenu du Québec (D.A.S.)</t>
  </si>
  <si>
    <t>DAS for April</t>
  </si>
  <si>
    <t>Canada Revenu Agency</t>
  </si>
  <si>
    <t>credit card payment</t>
  </si>
  <si>
    <t>1200</t>
  </si>
  <si>
    <t>Bourassa Transport</t>
  </si>
  <si>
    <t>1203</t>
  </si>
  <si>
    <t>Speedy Transport</t>
  </si>
  <si>
    <t>Freight bill number #6120980858</t>
  </si>
  <si>
    <t>1201</t>
  </si>
  <si>
    <t>Bourret Transport</t>
  </si>
  <si>
    <t>11841075</t>
  </si>
  <si>
    <t>12660190</t>
  </si>
  <si>
    <t>1204</t>
  </si>
  <si>
    <t>1205</t>
  </si>
  <si>
    <t>Patrick Vinson</t>
  </si>
  <si>
    <t>adv exp 05-2021</t>
  </si>
  <si>
    <t>Deal #12658783</t>
  </si>
  <si>
    <t>1279</t>
  </si>
  <si>
    <t>Receiver General</t>
  </si>
  <si>
    <t>Total Cheques and Payments</t>
  </si>
  <si>
    <t>Deposits and Credits - 12 items</t>
  </si>
  <si>
    <t>Deposit</t>
  </si>
  <si>
    <t>Total Deposits and Credits</t>
  </si>
  <si>
    <t>Total Cleared Transactions</t>
  </si>
  <si>
    <t>Cleared Balance</t>
  </si>
  <si>
    <t>Register Balance as of 05/31/2021</t>
  </si>
  <si>
    <t>CountOccurrences_cash</t>
  </si>
  <si>
    <t>Trans</t>
  </si>
  <si>
    <t xml:space="preserve"> Link</t>
  </si>
  <si>
    <t>Clear date</t>
  </si>
  <si>
    <t>CAMBRIDGE MERC MSP1</t>
  </si>
  <si>
    <t>CAMBRIDGE MERC MSP2</t>
  </si>
  <si>
    <t>CAMBRIDGE MERC MSP3</t>
  </si>
  <si>
    <t>MSP1</t>
  </si>
  <si>
    <t>MSP2</t>
  </si>
  <si>
    <t>MSP3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</si>
</sst>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6" x14ac:knownFonts="1"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rgb="FF000000"/>
      <name val="Symbol"/>
      <family val="1"/>
      <charset val="2"/>
    </font>
    <font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u/>
      <sz val="14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5" fillId="0" borderId="0" applyNumberFormat="0" applyFill="0" applyBorder="0" applyAlignment="0" applyProtection="0"/>
    <xf numFmtId="0" fontId="2" fillId="0" borderId="0"/>
    <xf numFmtId="0" fontId="1" fillId="0" borderId="0"/>
  </cellStyleXfs>
  <cellXfs count="23">
    <xf numFmtId="0" fontId="0" fillId="0" borderId="0" xfId="0"/>
    <xf numFmtId="0" fontId="4" fillId="0" borderId="0" xfId="18"/>
    <xf numFmtId="0" fontId="25" fillId="0" borderId="0" xfId="20"/>
    <xf numFmtId="0" fontId="3" fillId="0" borderId="0" xfId="18" applyFont="1"/>
    <xf numFmtId="49" fontId="1" fillId="0" borderId="0" xfId="22" applyNumberFormat="1" applyAlignment="1">
      <alignment horizontal="center"/>
    </xf>
    <xf numFmtId="49" fontId="21" fillId="0" borderId="1" xfId="22" applyNumberFormat="1" applyFont="1" applyBorder="1" applyAlignment="1">
      <alignment horizontal="center"/>
    </xf>
    <xf numFmtId="0" fontId="1" fillId="0" borderId="0" xfId="22" applyAlignment="1">
      <alignment horizontal="center"/>
    </xf>
    <xf numFmtId="49" fontId="21" fillId="0" borderId="0" xfId="22" applyNumberFormat="1" applyFont="1"/>
    <xf numFmtId="37" fontId="21" fillId="0" borderId="0" xfId="22" applyNumberFormat="1" applyFont="1"/>
    <xf numFmtId="164" fontId="21" fillId="0" borderId="0" xfId="22" applyNumberFormat="1" applyFont="1"/>
    <xf numFmtId="49" fontId="22" fillId="0" borderId="0" xfId="22" applyNumberFormat="1" applyFont="1"/>
    <xf numFmtId="39" fontId="21" fillId="0" borderId="0" xfId="22" applyNumberFormat="1" applyFont="1"/>
    <xf numFmtId="0" fontId="1" fillId="0" borderId="0" xfId="22"/>
    <xf numFmtId="49" fontId="23" fillId="0" borderId="0" xfId="22" applyNumberFormat="1" applyFont="1"/>
    <xf numFmtId="37" fontId="23" fillId="0" borderId="0" xfId="22" applyNumberFormat="1" applyFont="1"/>
    <xf numFmtId="164" fontId="23" fillId="0" borderId="0" xfId="22" applyNumberFormat="1" applyFont="1"/>
    <xf numFmtId="49" fontId="24" fillId="0" borderId="0" xfId="22" applyNumberFormat="1" applyFont="1" applyAlignment="1">
      <alignment horizontal="centerContinuous"/>
    </xf>
    <xf numFmtId="39" fontId="23" fillId="0" borderId="0" xfId="22" applyNumberFormat="1" applyFont="1"/>
    <xf numFmtId="39" fontId="23" fillId="0" borderId="2" xfId="22" applyNumberFormat="1" applyFont="1" applyBorder="1"/>
    <xf numFmtId="49" fontId="24" fillId="0" borderId="0" xfId="22" applyNumberFormat="1" applyFont="1"/>
    <xf numFmtId="39" fontId="23" fillId="0" borderId="3" xfId="22" applyNumberFormat="1" applyFont="1" applyBorder="1"/>
    <xf numFmtId="39" fontId="23" fillId="0" borderId="4" xfId="22" applyNumberFormat="1" applyFont="1" applyBorder="1"/>
    <xf numFmtId="16" fontId="1" fillId="0" borderId="0" xfId="22" applyNumberFormat="1"/>
  </cellXfs>
  <cellStyles count="23">
    <cellStyle name="Hyperlink" xfId="20" builtinId="8"/>
    <cellStyle name="Normal" xfId="0" builtinId="0"/>
    <cellStyle name="Normal 2" xfId="1" xr:uid="{00000000-0005-0000-0000-00002A000000}"/>
    <cellStyle name="Normal 3" xfId="2" xr:uid="{4B756C07-94F3-4264-A66A-69D4114F1D9A}"/>
    <cellStyle name="Normal 4" xfId="3" xr:uid="{F425A580-9DDC-41F9-A21E-8BB2A7815F4C}"/>
    <cellStyle name="Normal 4 10" xfId="12" xr:uid="{404774D4-73C7-43F8-89E6-A291FADBA3FB}"/>
    <cellStyle name="Normal 4 11" xfId="13" xr:uid="{F0838447-65BF-401B-B994-BD32162AC8D8}"/>
    <cellStyle name="Normal 4 12" xfId="14" xr:uid="{19F85583-044A-47AF-88E4-D3C18B3934AE}"/>
    <cellStyle name="Normal 4 13" xfId="15" xr:uid="{7A272216-526C-4D2E-AAAD-6D62C1DAAA6A}"/>
    <cellStyle name="Normal 4 14" xfId="16" xr:uid="{F286FE44-F882-48E1-9565-93D179E4A79C}"/>
    <cellStyle name="Normal 4 2" xfId="4" xr:uid="{72BF7E0C-6804-4453-9CF4-EB93D98E3797}"/>
    <cellStyle name="Normal 4 3" xfId="5" xr:uid="{9A426B76-5406-4CB9-9169-EDFD4655A7A7}"/>
    <cellStyle name="Normal 4 4" xfId="6" xr:uid="{0A1D6F8A-0803-4967-B85B-3FE9DE1AF472}"/>
    <cellStyle name="Normal 4 5" xfId="7" xr:uid="{282F8BBE-CE94-4EEA-B55B-12CB166ADBEC}"/>
    <cellStyle name="Normal 4 6" xfId="8" xr:uid="{400B841F-0202-4F4A-84B6-4E1CF85FA5FF}"/>
    <cellStyle name="Normal 4 7" xfId="9" xr:uid="{83C3F6B9-5267-4D0E-AA35-D6FDFAB677D9}"/>
    <cellStyle name="Normal 4 8" xfId="10" xr:uid="{DDF56E5B-910E-4109-98EA-EACC525B4559}"/>
    <cellStyle name="Normal 4 9" xfId="11" xr:uid="{70ADA545-F729-4A27-8ADB-D94E8588D878}"/>
    <cellStyle name="Normal 5" xfId="17" xr:uid="{9EA8799A-00EA-455D-8E47-761E57DD4B9E}"/>
    <cellStyle name="Normal 6" xfId="18" xr:uid="{A8CB67E8-B5BD-41EC-9524-B38D75C4DFC1}"/>
    <cellStyle name="Normal 7" xfId="19" xr:uid="{DFA918D1-69E2-4EC1-AFDC-4326FF983065}"/>
    <cellStyle name="Normal 8" xfId="21" xr:uid="{B6542A1E-D9B8-4C02-85EE-7FA3D0F23CFD}"/>
    <cellStyle name="Normal 9" xfId="22" xr:uid="{8DBE8441-F047-487F-9686-4B544CF67E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24781-9B2C-44A5-9B91-992A496C1BEC}">
  <dimension ref="A1:Y45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V5" sqref="V5"/>
    </sheetView>
  </sheetViews>
  <sheetFormatPr defaultRowHeight="14.5" x14ac:dyDescent="0.35"/>
  <cols>
    <col min="1" max="3" width="2.35546875" style="12" customWidth="1"/>
    <col min="4" max="4" width="23" style="12" customWidth="1"/>
    <col min="5" max="5" width="5.35546875" style="12" bestFit="1" customWidth="1"/>
    <col min="6" max="6" width="1.78515625" style="12" customWidth="1"/>
    <col min="7" max="7" width="9.42578125" style="12" bestFit="1" customWidth="1"/>
    <col min="8" max="8" width="1.78515625" style="12" customWidth="1"/>
    <col min="9" max="9" width="6.85546875" style="12" bestFit="1" customWidth="1"/>
    <col min="10" max="10" width="1.78515625" style="12" customWidth="1"/>
    <col min="11" max="11" width="9.0703125" style="12" bestFit="1" customWidth="1"/>
    <col min="12" max="12" width="1.78515625" style="12" customWidth="1"/>
    <col min="13" max="13" width="24.140625" style="12" customWidth="1"/>
    <col min="14" max="14" width="1.78515625" style="12" customWidth="1"/>
    <col min="15" max="15" width="24.140625" style="12" customWidth="1"/>
    <col min="16" max="16" width="1.78515625" style="12" customWidth="1"/>
    <col min="17" max="17" width="2.5703125" style="12" bestFit="1" customWidth="1"/>
    <col min="18" max="18" width="1.78515625" style="12" customWidth="1"/>
    <col min="19" max="19" width="7.28515625" style="12" bestFit="1" customWidth="1"/>
    <col min="20" max="20" width="1.78515625" style="12" customWidth="1"/>
    <col min="21" max="21" width="7.28515625" style="12" bestFit="1" customWidth="1"/>
    <col min="22" max="16384" width="9.140625" style="12"/>
  </cols>
  <sheetData>
    <row r="1" spans="1:25" s="6" customFormat="1" ht="15" thickBot="1" x14ac:dyDescent="0.4">
      <c r="A1" s="4"/>
      <c r="B1" s="4"/>
      <c r="C1" s="4"/>
      <c r="D1" s="4"/>
      <c r="E1" s="5" t="s">
        <v>46</v>
      </c>
      <c r="F1" s="4"/>
      <c r="G1" s="5" t="s">
        <v>47</v>
      </c>
      <c r="H1" s="4"/>
      <c r="I1" s="5" t="s">
        <v>48</v>
      </c>
      <c r="J1" s="4"/>
      <c r="K1" s="5" t="s">
        <v>49</v>
      </c>
      <c r="L1" s="4"/>
      <c r="M1" s="5" t="s">
        <v>50</v>
      </c>
      <c r="N1" s="4"/>
      <c r="O1" s="5" t="s">
        <v>51</v>
      </c>
      <c r="P1" s="4"/>
      <c r="Q1" s="5" t="s">
        <v>52</v>
      </c>
      <c r="R1" s="4"/>
      <c r="S1" s="5" t="s">
        <v>53</v>
      </c>
      <c r="T1" s="4"/>
      <c r="U1" s="5" t="s">
        <v>54</v>
      </c>
      <c r="W1" s="6" t="s">
        <v>111</v>
      </c>
      <c r="Y1" s="6" t="s">
        <v>108</v>
      </c>
    </row>
    <row r="2" spans="1:25" ht="15" thickTop="1" x14ac:dyDescent="0.35">
      <c r="A2" s="7" t="s">
        <v>55</v>
      </c>
      <c r="B2" s="7"/>
      <c r="C2" s="7"/>
      <c r="D2" s="7"/>
      <c r="E2" s="8"/>
      <c r="F2" s="7"/>
      <c r="G2" s="7"/>
      <c r="H2" s="7"/>
      <c r="I2" s="9"/>
      <c r="J2" s="7"/>
      <c r="K2" s="7"/>
      <c r="L2" s="7"/>
      <c r="M2" s="7"/>
      <c r="N2" s="7"/>
      <c r="O2" s="7"/>
      <c r="P2" s="7"/>
      <c r="Q2" s="10"/>
      <c r="R2" s="7"/>
      <c r="S2" s="11"/>
      <c r="T2" s="7"/>
      <c r="U2" s="11">
        <v>75101.59</v>
      </c>
    </row>
    <row r="3" spans="1:25" x14ac:dyDescent="0.35">
      <c r="A3" s="7"/>
      <c r="B3" s="7"/>
      <c r="C3" s="7" t="s">
        <v>56</v>
      </c>
      <c r="D3" s="7"/>
      <c r="E3" s="8"/>
      <c r="F3" s="7"/>
      <c r="G3" s="7"/>
      <c r="H3" s="7"/>
      <c r="I3" s="9"/>
      <c r="J3" s="7"/>
      <c r="K3" s="7"/>
      <c r="L3" s="7"/>
      <c r="M3" s="7"/>
      <c r="N3" s="7"/>
      <c r="O3" s="7"/>
      <c r="P3" s="7"/>
      <c r="Q3" s="10"/>
      <c r="R3" s="7"/>
      <c r="S3" s="11"/>
      <c r="T3" s="7"/>
      <c r="U3" s="11"/>
    </row>
    <row r="4" spans="1:25" x14ac:dyDescent="0.35">
      <c r="A4" s="7"/>
      <c r="B4" s="7"/>
      <c r="C4" s="7"/>
      <c r="D4" s="7" t="s">
        <v>57</v>
      </c>
      <c r="E4" s="8"/>
      <c r="F4" s="7"/>
      <c r="G4" s="7"/>
      <c r="H4" s="7"/>
      <c r="I4" s="9"/>
      <c r="J4" s="7"/>
      <c r="K4" s="7"/>
      <c r="L4" s="7"/>
      <c r="M4" s="7"/>
      <c r="N4" s="7"/>
      <c r="O4" s="7"/>
      <c r="P4" s="7"/>
      <c r="Q4" s="10"/>
      <c r="R4" s="7"/>
      <c r="S4" s="11"/>
      <c r="T4" s="7"/>
      <c r="U4" s="11"/>
    </row>
    <row r="5" spans="1:25" ht="18.5" x14ac:dyDescent="0.45">
      <c r="A5" s="13"/>
      <c r="B5" s="13"/>
      <c r="C5" s="13"/>
      <c r="D5" s="13"/>
      <c r="E5" s="14">
        <v>195</v>
      </c>
      <c r="F5" s="13"/>
      <c r="G5" s="13" t="s">
        <v>58</v>
      </c>
      <c r="H5" s="13"/>
      <c r="I5" s="15">
        <v>44314</v>
      </c>
      <c r="J5" s="13"/>
      <c r="K5" s="13" t="s">
        <v>59</v>
      </c>
      <c r="L5" s="13"/>
      <c r="M5" s="13" t="s">
        <v>60</v>
      </c>
      <c r="N5" s="13"/>
      <c r="O5" s="13" t="s">
        <v>61</v>
      </c>
      <c r="P5" s="13"/>
      <c r="Q5" s="16" t="s">
        <v>62</v>
      </c>
      <c r="R5" s="13"/>
      <c r="S5" s="17">
        <v>-565</v>
      </c>
      <c r="T5" s="13"/>
      <c r="U5" s="17">
        <f t="shared" ref="U5:U27" si="0">ROUND(U4+S5,5)</f>
        <v>-565</v>
      </c>
      <c r="W5" s="22">
        <v>45426</v>
      </c>
      <c r="X5" s="2" t="str">
        <f>HYPERLINK("#bank!F" &amp; MATCH(E5, bank!F:F, 0), "BACK")</f>
        <v>BACK</v>
      </c>
      <c r="Y5" s="12">
        <v>1</v>
      </c>
    </row>
    <row r="6" spans="1:25" ht="18.5" x14ac:dyDescent="0.45">
      <c r="A6" s="13"/>
      <c r="B6" s="13"/>
      <c r="C6" s="13"/>
      <c r="D6" s="13"/>
      <c r="E6" s="14">
        <v>218</v>
      </c>
      <c r="F6" s="13"/>
      <c r="G6" s="13" t="s">
        <v>63</v>
      </c>
      <c r="H6" s="13"/>
      <c r="I6" s="15">
        <v>44316</v>
      </c>
      <c r="J6" s="13"/>
      <c r="K6" s="13" t="s">
        <v>115</v>
      </c>
      <c r="L6" s="13"/>
      <c r="M6" s="13" t="s">
        <v>64</v>
      </c>
      <c r="N6" s="13"/>
      <c r="O6" s="13" t="s">
        <v>65</v>
      </c>
      <c r="P6" s="13"/>
      <c r="Q6" s="16" t="s">
        <v>62</v>
      </c>
      <c r="R6" s="13"/>
      <c r="S6" s="17">
        <v>-25</v>
      </c>
      <c r="T6" s="13"/>
      <c r="U6" s="17">
        <f t="shared" si="0"/>
        <v>-590</v>
      </c>
      <c r="W6" s="22">
        <v>45415</v>
      </c>
      <c r="X6" s="2" t="str">
        <f>HYPERLINK("#bank!F" &amp; MATCH(E6, bank!F:F, 0), "BACK")</f>
        <v>BACK</v>
      </c>
      <c r="Y6" s="12">
        <v>3</v>
      </c>
    </row>
    <row r="7" spans="1:25" ht="18.5" x14ac:dyDescent="0.45">
      <c r="A7" s="13"/>
      <c r="B7" s="13"/>
      <c r="C7" s="13"/>
      <c r="D7" s="13"/>
      <c r="E7" s="14">
        <v>233</v>
      </c>
      <c r="F7" s="13"/>
      <c r="G7" s="13" t="s">
        <v>66</v>
      </c>
      <c r="H7" s="13"/>
      <c r="I7" s="15">
        <v>44319</v>
      </c>
      <c r="J7" s="13"/>
      <c r="K7" s="13"/>
      <c r="L7" s="13"/>
      <c r="M7" s="13"/>
      <c r="N7" s="13"/>
      <c r="O7" s="13" t="s">
        <v>67</v>
      </c>
      <c r="P7" s="13"/>
      <c r="Q7" s="16" t="s">
        <v>62</v>
      </c>
      <c r="R7" s="13"/>
      <c r="S7" s="17">
        <v>-5177.34</v>
      </c>
      <c r="T7" s="13"/>
      <c r="U7" s="17">
        <f t="shared" si="0"/>
        <v>-5767.34</v>
      </c>
      <c r="W7" s="22">
        <v>45416</v>
      </c>
      <c r="X7" s="2" t="str">
        <f>HYPERLINK("#bank!F" &amp; MATCH(E7, bank!F:F, 0), "BACK")</f>
        <v>BACK</v>
      </c>
      <c r="Y7" s="12">
        <v>1</v>
      </c>
    </row>
    <row r="8" spans="1:25" ht="18.5" x14ac:dyDescent="0.45">
      <c r="A8" s="13"/>
      <c r="B8" s="13"/>
      <c r="C8" s="13"/>
      <c r="D8" s="13"/>
      <c r="E8" s="14">
        <v>239</v>
      </c>
      <c r="F8" s="13"/>
      <c r="G8" s="13" t="s">
        <v>58</v>
      </c>
      <c r="H8" s="13"/>
      <c r="I8" s="15">
        <v>44319</v>
      </c>
      <c r="J8" s="13"/>
      <c r="K8" s="13" t="s">
        <v>68</v>
      </c>
      <c r="L8" s="13"/>
      <c r="M8" s="13" t="s">
        <v>69</v>
      </c>
      <c r="N8" s="13"/>
      <c r="O8" s="13"/>
      <c r="P8" s="13"/>
      <c r="Q8" s="16" t="s">
        <v>62</v>
      </c>
      <c r="R8" s="13"/>
      <c r="S8" s="17">
        <v>-165.91</v>
      </c>
      <c r="T8" s="13"/>
      <c r="U8" s="17">
        <f t="shared" si="0"/>
        <v>-5933.25</v>
      </c>
      <c r="W8" s="22">
        <v>45415</v>
      </c>
      <c r="X8" s="2" t="str">
        <f>HYPERLINK("#bank!F" &amp; MATCH(E8, bank!F:F, 0), "BACK")</f>
        <v>BACK</v>
      </c>
      <c r="Y8" s="12">
        <v>1</v>
      </c>
    </row>
    <row r="9" spans="1:25" ht="18.5" x14ac:dyDescent="0.45">
      <c r="A9" s="13"/>
      <c r="B9" s="13"/>
      <c r="C9" s="13"/>
      <c r="D9" s="13"/>
      <c r="E9" s="14">
        <v>762</v>
      </c>
      <c r="F9" s="13"/>
      <c r="G9" s="13" t="s">
        <v>63</v>
      </c>
      <c r="H9" s="13"/>
      <c r="I9" s="15">
        <v>44319</v>
      </c>
      <c r="J9" s="13"/>
      <c r="K9" s="13"/>
      <c r="L9" s="13"/>
      <c r="M9" s="13" t="s">
        <v>64</v>
      </c>
      <c r="N9" s="13"/>
      <c r="O9" s="13" t="s">
        <v>39</v>
      </c>
      <c r="P9" s="13"/>
      <c r="Q9" s="16" t="s">
        <v>62</v>
      </c>
      <c r="R9" s="13"/>
      <c r="S9" s="17">
        <v>-4</v>
      </c>
      <c r="T9" s="13"/>
      <c r="U9" s="17">
        <f t="shared" si="0"/>
        <v>-5937.25</v>
      </c>
      <c r="W9" s="22">
        <v>45415</v>
      </c>
      <c r="X9" s="2" t="str">
        <f>HYPERLINK("#bank!F" &amp; MATCH(E9, bank!F:F, 0), "BACK")</f>
        <v>BACK</v>
      </c>
      <c r="Y9" s="12">
        <v>1</v>
      </c>
    </row>
    <row r="10" spans="1:25" ht="18.5" x14ac:dyDescent="0.45">
      <c r="A10" s="13"/>
      <c r="B10" s="13"/>
      <c r="C10" s="13"/>
      <c r="D10" s="13"/>
      <c r="E10" s="14">
        <v>275</v>
      </c>
      <c r="F10" s="13"/>
      <c r="G10" s="13" t="s">
        <v>66</v>
      </c>
      <c r="H10" s="13"/>
      <c r="I10" s="15">
        <v>44323</v>
      </c>
      <c r="J10" s="13"/>
      <c r="K10" s="13"/>
      <c r="L10" s="13"/>
      <c r="M10" s="13"/>
      <c r="N10" s="13"/>
      <c r="O10" s="13" t="s">
        <v>70</v>
      </c>
      <c r="P10" s="13"/>
      <c r="Q10" s="16" t="s">
        <v>62</v>
      </c>
      <c r="R10" s="13"/>
      <c r="S10" s="17">
        <v>-4273.01</v>
      </c>
      <c r="T10" s="13"/>
      <c r="U10" s="17">
        <f t="shared" si="0"/>
        <v>-10210.26</v>
      </c>
      <c r="X10" s="2"/>
      <c r="Y10" s="12">
        <v>1</v>
      </c>
    </row>
    <row r="11" spans="1:25" ht="18.5" x14ac:dyDescent="0.45">
      <c r="A11" s="13"/>
      <c r="B11" s="13"/>
      <c r="C11" s="13"/>
      <c r="D11" s="13"/>
      <c r="E11" s="14">
        <v>280</v>
      </c>
      <c r="F11" s="13"/>
      <c r="G11" s="13" t="s">
        <v>58</v>
      </c>
      <c r="H11" s="13"/>
      <c r="I11" s="15">
        <v>44323</v>
      </c>
      <c r="J11" s="13"/>
      <c r="K11" s="13" t="s">
        <v>71</v>
      </c>
      <c r="L11" s="13"/>
      <c r="M11" s="13" t="s">
        <v>72</v>
      </c>
      <c r="N11" s="13"/>
      <c r="O11" s="13" t="s">
        <v>73</v>
      </c>
      <c r="P11" s="13"/>
      <c r="Q11" s="16" t="s">
        <v>62</v>
      </c>
      <c r="R11" s="13"/>
      <c r="S11" s="17">
        <v>-641.36</v>
      </c>
      <c r="T11" s="13"/>
      <c r="U11" s="17">
        <f t="shared" si="0"/>
        <v>-10851.62</v>
      </c>
      <c r="W11" s="22">
        <v>45425</v>
      </c>
      <c r="X11" s="2" t="str">
        <f>HYPERLINK("#bank!F" &amp; MATCH(E11, bank!F:F, 0), "BACK")</f>
        <v>BACK</v>
      </c>
      <c r="Y11" s="12">
        <v>1</v>
      </c>
    </row>
    <row r="12" spans="1:25" ht="18.5" x14ac:dyDescent="0.45">
      <c r="A12" s="13"/>
      <c r="B12" s="13"/>
      <c r="C12" s="13"/>
      <c r="D12" s="13"/>
      <c r="E12" s="14">
        <v>281</v>
      </c>
      <c r="F12" s="13"/>
      <c r="G12" s="13" t="s">
        <v>63</v>
      </c>
      <c r="H12" s="13"/>
      <c r="I12" s="15">
        <v>44323</v>
      </c>
      <c r="J12" s="13"/>
      <c r="K12" s="13" t="s">
        <v>116</v>
      </c>
      <c r="L12" s="13"/>
      <c r="M12" s="13" t="s">
        <v>64</v>
      </c>
      <c r="N12" s="13"/>
      <c r="O12" s="13" t="s">
        <v>74</v>
      </c>
      <c r="P12" s="13"/>
      <c r="Q12" s="16" t="s">
        <v>62</v>
      </c>
      <c r="R12" s="13"/>
      <c r="S12" s="17">
        <v>-25</v>
      </c>
      <c r="T12" s="13"/>
      <c r="U12" s="17">
        <f t="shared" si="0"/>
        <v>-10876.62</v>
      </c>
      <c r="W12" s="22">
        <v>45422</v>
      </c>
      <c r="X12" s="2" t="str">
        <f>HYPERLINK("#bank!F" &amp; MATCH(E12, bank!F:F, 0), "BACK")</f>
        <v>BACK</v>
      </c>
      <c r="Y12" s="12">
        <v>3</v>
      </c>
    </row>
    <row r="13" spans="1:25" ht="18.5" x14ac:dyDescent="0.45">
      <c r="A13" s="13"/>
      <c r="B13" s="13"/>
      <c r="C13" s="13"/>
      <c r="D13" s="13"/>
      <c r="E13" s="14">
        <v>277</v>
      </c>
      <c r="F13" s="13"/>
      <c r="G13" s="13" t="s">
        <v>63</v>
      </c>
      <c r="H13" s="13"/>
      <c r="I13" s="15">
        <v>44323</v>
      </c>
      <c r="J13" s="13"/>
      <c r="K13" s="13"/>
      <c r="L13" s="13"/>
      <c r="M13" s="13"/>
      <c r="N13" s="13"/>
      <c r="O13" s="13" t="s">
        <v>75</v>
      </c>
      <c r="P13" s="13"/>
      <c r="Q13" s="16" t="s">
        <v>62</v>
      </c>
      <c r="R13" s="13"/>
      <c r="S13" s="17">
        <v>-3</v>
      </c>
      <c r="T13" s="13"/>
      <c r="U13" s="17">
        <f t="shared" si="0"/>
        <v>-10879.62</v>
      </c>
      <c r="X13" s="2"/>
      <c r="Y13" s="12">
        <v>1</v>
      </c>
    </row>
    <row r="14" spans="1:25" ht="18.5" x14ac:dyDescent="0.45">
      <c r="A14" s="13"/>
      <c r="B14" s="13"/>
      <c r="C14" s="13"/>
      <c r="D14" s="13"/>
      <c r="E14" s="14">
        <v>178</v>
      </c>
      <c r="F14" s="13"/>
      <c r="G14" s="13" t="s">
        <v>63</v>
      </c>
      <c r="H14" s="13"/>
      <c r="I14" s="15">
        <v>44326</v>
      </c>
      <c r="J14" s="13"/>
      <c r="K14" s="13" t="s">
        <v>76</v>
      </c>
      <c r="L14" s="13"/>
      <c r="M14" s="13" t="s">
        <v>77</v>
      </c>
      <c r="N14" s="13"/>
      <c r="O14" s="13" t="s">
        <v>78</v>
      </c>
      <c r="P14" s="13"/>
      <c r="Q14" s="16" t="s">
        <v>62</v>
      </c>
      <c r="R14" s="13"/>
      <c r="S14" s="17">
        <v>-1477.98</v>
      </c>
      <c r="T14" s="13"/>
      <c r="U14" s="17">
        <f t="shared" si="0"/>
        <v>-12357.6</v>
      </c>
      <c r="W14" s="22">
        <v>45430</v>
      </c>
      <c r="X14" s="2" t="str">
        <f>HYPERLINK("#bank!F" &amp; MATCH(E14, bank!F:F, 0), "BACK")</f>
        <v>BACK</v>
      </c>
      <c r="Y14" s="12">
        <v>2</v>
      </c>
    </row>
    <row r="15" spans="1:25" ht="18.5" x14ac:dyDescent="0.45">
      <c r="A15" s="13"/>
      <c r="B15" s="13"/>
      <c r="C15" s="13"/>
      <c r="D15" s="13"/>
      <c r="E15" s="14">
        <v>310</v>
      </c>
      <c r="F15" s="13"/>
      <c r="G15" s="13" t="s">
        <v>63</v>
      </c>
      <c r="H15" s="13"/>
      <c r="I15" s="15">
        <v>44326</v>
      </c>
      <c r="J15" s="13"/>
      <c r="K15" s="13" t="s">
        <v>117</v>
      </c>
      <c r="L15" s="13"/>
      <c r="M15" s="13"/>
      <c r="N15" s="13"/>
      <c r="O15" s="13" t="s">
        <v>79</v>
      </c>
      <c r="P15" s="13"/>
      <c r="Q15" s="16" t="s">
        <v>62</v>
      </c>
      <c r="R15" s="13"/>
      <c r="S15" s="17">
        <v>-25</v>
      </c>
      <c r="T15" s="13"/>
      <c r="U15" s="17">
        <f t="shared" si="0"/>
        <v>-12382.6</v>
      </c>
      <c r="W15" s="22">
        <v>45423</v>
      </c>
      <c r="X15" s="2" t="str">
        <f>HYPERLINK("#bank!F" &amp; MATCH(E15, bank!F:F, 0), "BACK")</f>
        <v>BACK</v>
      </c>
      <c r="Y15" s="12">
        <v>3</v>
      </c>
    </row>
    <row r="16" spans="1:25" ht="18.5" x14ac:dyDescent="0.45">
      <c r="A16" s="13"/>
      <c r="B16" s="13"/>
      <c r="C16" s="13"/>
      <c r="D16" s="13"/>
      <c r="E16" s="14">
        <v>318</v>
      </c>
      <c r="F16" s="13"/>
      <c r="G16" s="13" t="s">
        <v>63</v>
      </c>
      <c r="H16" s="13"/>
      <c r="I16" s="15">
        <v>44330</v>
      </c>
      <c r="J16" s="13"/>
      <c r="K16" s="13" t="s">
        <v>80</v>
      </c>
      <c r="L16" s="13"/>
      <c r="M16" s="13" t="s">
        <v>81</v>
      </c>
      <c r="N16" s="13"/>
      <c r="O16" s="13" t="s">
        <v>82</v>
      </c>
      <c r="P16" s="13"/>
      <c r="Q16" s="16" t="s">
        <v>62</v>
      </c>
      <c r="R16" s="13"/>
      <c r="S16" s="17">
        <v>-980.2</v>
      </c>
      <c r="T16" s="13"/>
      <c r="U16" s="17">
        <f t="shared" si="0"/>
        <v>-13362.8</v>
      </c>
      <c r="W16" s="22">
        <v>45429</v>
      </c>
      <c r="X16" s="2" t="str">
        <f>HYPERLINK("#bank!F" &amp; MATCH(E16, bank!F:F, 0), "BACK")</f>
        <v>BACK</v>
      </c>
      <c r="Y16" s="12">
        <v>1</v>
      </c>
    </row>
    <row r="17" spans="1:25" ht="18.5" x14ac:dyDescent="0.45">
      <c r="A17" s="13"/>
      <c r="B17" s="13"/>
      <c r="C17" s="13"/>
      <c r="D17" s="13"/>
      <c r="E17" s="14">
        <v>317</v>
      </c>
      <c r="F17" s="13"/>
      <c r="G17" s="13" t="s">
        <v>63</v>
      </c>
      <c r="H17" s="13"/>
      <c r="I17" s="15">
        <v>44330</v>
      </c>
      <c r="J17" s="13"/>
      <c r="K17" s="13"/>
      <c r="L17" s="13"/>
      <c r="M17" s="13" t="s">
        <v>83</v>
      </c>
      <c r="N17" s="13"/>
      <c r="O17" s="13" t="s">
        <v>82</v>
      </c>
      <c r="P17" s="13"/>
      <c r="Q17" s="16" t="s">
        <v>62</v>
      </c>
      <c r="R17" s="13"/>
      <c r="S17" s="17">
        <v>-443.72</v>
      </c>
      <c r="T17" s="13"/>
      <c r="U17" s="17">
        <f t="shared" si="0"/>
        <v>-13806.52</v>
      </c>
      <c r="W17" s="22">
        <v>45429</v>
      </c>
      <c r="X17" s="2" t="str">
        <f>HYPERLINK("#bank!F" &amp; MATCH(E17, bank!F:F, 0), "BACK")</f>
        <v>BACK</v>
      </c>
      <c r="Y17" s="12">
        <v>1</v>
      </c>
    </row>
    <row r="18" spans="1:25" ht="18.5" x14ac:dyDescent="0.45">
      <c r="A18" s="13"/>
      <c r="B18" s="13"/>
      <c r="C18" s="13"/>
      <c r="D18" s="13"/>
      <c r="E18" s="14">
        <v>414</v>
      </c>
      <c r="F18" s="13"/>
      <c r="G18" s="13" t="s">
        <v>66</v>
      </c>
      <c r="H18" s="13"/>
      <c r="I18" s="15">
        <v>44333</v>
      </c>
      <c r="J18" s="13"/>
      <c r="K18" s="13"/>
      <c r="L18" s="13"/>
      <c r="M18" s="13"/>
      <c r="N18" s="13"/>
      <c r="O18" s="13" t="s">
        <v>84</v>
      </c>
      <c r="P18" s="13"/>
      <c r="Q18" s="16" t="s">
        <v>62</v>
      </c>
      <c r="R18" s="13"/>
      <c r="S18" s="17">
        <v>-8.58</v>
      </c>
      <c r="T18" s="13"/>
      <c r="U18" s="17">
        <f t="shared" si="0"/>
        <v>-13815.1</v>
      </c>
      <c r="W18" s="22">
        <v>45429</v>
      </c>
      <c r="X18" s="2" t="str">
        <f>HYPERLINK("#bank!F" &amp; MATCH(E18, bank!F:F, 0), "BACK")</f>
        <v>BACK</v>
      </c>
      <c r="Y18" s="12">
        <v>1</v>
      </c>
    </row>
    <row r="19" spans="1:25" ht="18.5" x14ac:dyDescent="0.45">
      <c r="A19" s="13"/>
      <c r="B19" s="13"/>
      <c r="C19" s="13"/>
      <c r="D19" s="13"/>
      <c r="E19" s="14">
        <v>370</v>
      </c>
      <c r="F19" s="13"/>
      <c r="G19" s="13" t="s">
        <v>58</v>
      </c>
      <c r="H19" s="13"/>
      <c r="I19" s="15">
        <v>44334</v>
      </c>
      <c r="J19" s="13"/>
      <c r="K19" s="13" t="s">
        <v>85</v>
      </c>
      <c r="L19" s="13"/>
      <c r="M19" s="13" t="s">
        <v>86</v>
      </c>
      <c r="N19" s="13"/>
      <c r="O19" s="13"/>
      <c r="P19" s="13"/>
      <c r="Q19" s="16" t="s">
        <v>62</v>
      </c>
      <c r="R19" s="13"/>
      <c r="S19" s="17">
        <v>-1955.48</v>
      </c>
      <c r="T19" s="13"/>
      <c r="U19" s="17">
        <f t="shared" si="0"/>
        <v>-15770.58</v>
      </c>
      <c r="W19" s="22">
        <v>45433</v>
      </c>
      <c r="X19" s="2" t="str">
        <f>HYPERLINK("#bank!F" &amp; MATCH(E19, bank!F:F, 0), "BACK")</f>
        <v>BACK</v>
      </c>
      <c r="Y19" s="12">
        <v>1</v>
      </c>
    </row>
    <row r="20" spans="1:25" ht="18.5" x14ac:dyDescent="0.45">
      <c r="A20" s="13"/>
      <c r="B20" s="13"/>
      <c r="C20" s="13"/>
      <c r="D20" s="13"/>
      <c r="E20" s="14">
        <v>375</v>
      </c>
      <c r="F20" s="13"/>
      <c r="G20" s="13" t="s">
        <v>58</v>
      </c>
      <c r="H20" s="13"/>
      <c r="I20" s="15">
        <v>44334</v>
      </c>
      <c r="J20" s="13"/>
      <c r="K20" s="13" t="s">
        <v>87</v>
      </c>
      <c r="L20" s="13"/>
      <c r="M20" s="13" t="s">
        <v>88</v>
      </c>
      <c r="N20" s="13"/>
      <c r="O20" s="13" t="s">
        <v>89</v>
      </c>
      <c r="P20" s="13"/>
      <c r="Q20" s="16" t="s">
        <v>62</v>
      </c>
      <c r="R20" s="13"/>
      <c r="S20" s="17">
        <v>-370.79</v>
      </c>
      <c r="T20" s="13"/>
      <c r="U20" s="17">
        <f t="shared" si="0"/>
        <v>-16141.37</v>
      </c>
      <c r="W20" s="22">
        <v>45433</v>
      </c>
      <c r="X20" s="2" t="str">
        <f>HYPERLINK("#bank!F" &amp; MATCH(E20, bank!F:F, 0), "BACK")</f>
        <v>BACK</v>
      </c>
      <c r="Y20" s="12">
        <v>1</v>
      </c>
    </row>
    <row r="21" spans="1:25" ht="18.5" x14ac:dyDescent="0.45">
      <c r="A21" s="13"/>
      <c r="B21" s="13"/>
      <c r="C21" s="13"/>
      <c r="D21" s="13"/>
      <c r="E21" s="14">
        <v>371</v>
      </c>
      <c r="F21" s="13"/>
      <c r="G21" s="13" t="s">
        <v>58</v>
      </c>
      <c r="H21" s="13"/>
      <c r="I21" s="15">
        <v>44334</v>
      </c>
      <c r="J21" s="13"/>
      <c r="K21" s="13" t="s">
        <v>90</v>
      </c>
      <c r="L21" s="13"/>
      <c r="M21" s="13" t="s">
        <v>91</v>
      </c>
      <c r="N21" s="13"/>
      <c r="O21" s="13" t="s">
        <v>92</v>
      </c>
      <c r="P21" s="13"/>
      <c r="Q21" s="16" t="s">
        <v>62</v>
      </c>
      <c r="R21" s="13"/>
      <c r="S21" s="17">
        <v>-114.19</v>
      </c>
      <c r="T21" s="13"/>
      <c r="U21" s="17">
        <f t="shared" si="0"/>
        <v>-16255.56</v>
      </c>
      <c r="W21" s="22">
        <v>45433</v>
      </c>
      <c r="X21" s="2" t="str">
        <f>HYPERLINK("#bank!F" &amp; MATCH(E21, bank!F:F, 0), "BACK")</f>
        <v>BACK</v>
      </c>
      <c r="Y21" s="12">
        <v>1</v>
      </c>
    </row>
    <row r="22" spans="1:25" ht="18.5" x14ac:dyDescent="0.45">
      <c r="A22" s="13"/>
      <c r="B22" s="13"/>
      <c r="C22" s="13"/>
      <c r="D22" s="13"/>
      <c r="E22" s="14">
        <v>401</v>
      </c>
      <c r="F22" s="13"/>
      <c r="G22" s="13" t="s">
        <v>66</v>
      </c>
      <c r="H22" s="13"/>
      <c r="I22" s="15">
        <v>44337</v>
      </c>
      <c r="J22" s="13"/>
      <c r="K22" s="13"/>
      <c r="L22" s="13"/>
      <c r="M22" s="13"/>
      <c r="N22" s="13"/>
      <c r="O22" s="13" t="s">
        <v>93</v>
      </c>
      <c r="P22" s="13"/>
      <c r="Q22" s="16" t="s">
        <v>62</v>
      </c>
      <c r="R22" s="13"/>
      <c r="S22" s="17">
        <v>-1891.34</v>
      </c>
      <c r="T22" s="13"/>
      <c r="U22" s="17">
        <f t="shared" si="0"/>
        <v>-18146.900000000001</v>
      </c>
      <c r="W22" s="22">
        <v>45437</v>
      </c>
      <c r="X22" s="2" t="str">
        <f>HYPERLINK("#bank!F" &amp; MATCH(E22, bank!F:F, 0), "BACK")</f>
        <v>BACK</v>
      </c>
      <c r="Y22" s="12">
        <v>1</v>
      </c>
    </row>
    <row r="23" spans="1:25" ht="18.5" x14ac:dyDescent="0.45">
      <c r="A23" s="13"/>
      <c r="B23" s="13"/>
      <c r="C23" s="13"/>
      <c r="D23" s="13"/>
      <c r="E23" s="14">
        <v>766</v>
      </c>
      <c r="F23" s="13"/>
      <c r="G23" s="13" t="s">
        <v>63</v>
      </c>
      <c r="H23" s="13"/>
      <c r="I23" s="15">
        <v>44337</v>
      </c>
      <c r="J23" s="13"/>
      <c r="K23" s="13" t="s">
        <v>94</v>
      </c>
      <c r="L23" s="13"/>
      <c r="M23" s="13" t="s">
        <v>77</v>
      </c>
      <c r="N23" s="13"/>
      <c r="O23" s="13" t="s">
        <v>78</v>
      </c>
      <c r="P23" s="13"/>
      <c r="Q23" s="16" t="s">
        <v>62</v>
      </c>
      <c r="R23" s="13"/>
      <c r="S23" s="17">
        <v>-1477.98</v>
      </c>
      <c r="T23" s="13"/>
      <c r="U23" s="17">
        <f t="shared" si="0"/>
        <v>-19624.88</v>
      </c>
      <c r="W23" s="22">
        <v>45433</v>
      </c>
      <c r="X23" s="2" t="str">
        <f>HYPERLINK("#bank!F" &amp; MATCH(E23, bank!F:F, 0), "BACK")</f>
        <v>BACK</v>
      </c>
      <c r="Y23" s="12">
        <v>2</v>
      </c>
    </row>
    <row r="24" spans="1:25" ht="18.5" x14ac:dyDescent="0.45">
      <c r="A24" s="13"/>
      <c r="B24" s="13"/>
      <c r="C24" s="13"/>
      <c r="D24" s="13"/>
      <c r="E24" s="14">
        <v>419</v>
      </c>
      <c r="F24" s="13"/>
      <c r="G24" s="13" t="s">
        <v>63</v>
      </c>
      <c r="H24" s="13"/>
      <c r="I24" s="15">
        <v>44341</v>
      </c>
      <c r="J24" s="13"/>
      <c r="K24" s="13" t="s">
        <v>95</v>
      </c>
      <c r="L24" s="13"/>
      <c r="M24" s="13" t="s">
        <v>96</v>
      </c>
      <c r="N24" s="13"/>
      <c r="O24" s="13" t="s">
        <v>97</v>
      </c>
      <c r="P24" s="13"/>
      <c r="Q24" s="16" t="s">
        <v>62</v>
      </c>
      <c r="R24" s="13"/>
      <c r="S24" s="17">
        <v>-5000</v>
      </c>
      <c r="T24" s="13"/>
      <c r="U24" s="17">
        <f t="shared" si="0"/>
        <v>-24624.880000000001</v>
      </c>
      <c r="W24" s="22">
        <v>45439</v>
      </c>
      <c r="X24" s="2" t="str">
        <f>HYPERLINK("#bank!F" &amp; MATCH(E24, bank!F:F, 0), "BACK")</f>
        <v>BACK</v>
      </c>
      <c r="Y24" s="12">
        <v>1</v>
      </c>
    </row>
    <row r="25" spans="1:25" ht="18.5" x14ac:dyDescent="0.45">
      <c r="A25" s="13"/>
      <c r="B25" s="13"/>
      <c r="C25" s="13"/>
      <c r="D25" s="13"/>
      <c r="E25" s="14">
        <v>764</v>
      </c>
      <c r="F25" s="13"/>
      <c r="G25" s="13" t="s">
        <v>66</v>
      </c>
      <c r="H25" s="13"/>
      <c r="I25" s="15">
        <v>44341</v>
      </c>
      <c r="J25" s="13"/>
      <c r="K25" s="13"/>
      <c r="L25" s="13"/>
      <c r="M25" s="13"/>
      <c r="N25" s="13"/>
      <c r="O25" s="13" t="s">
        <v>98</v>
      </c>
      <c r="P25" s="13"/>
      <c r="Q25" s="16" t="s">
        <v>62</v>
      </c>
      <c r="R25" s="13"/>
      <c r="S25" s="17">
        <v>-2214.34</v>
      </c>
      <c r="T25" s="13"/>
      <c r="U25" s="17">
        <f t="shared" si="0"/>
        <v>-26839.22</v>
      </c>
      <c r="W25" s="22">
        <v>45437</v>
      </c>
      <c r="X25" s="2" t="str">
        <f>HYPERLINK("#bank!F" &amp; MATCH(E25, bank!F:F, 0), "BACK")</f>
        <v>BACK</v>
      </c>
      <c r="Y25" s="12">
        <v>1</v>
      </c>
    </row>
    <row r="26" spans="1:25" ht="18.5" x14ac:dyDescent="0.45">
      <c r="A26" s="13"/>
      <c r="B26" s="13"/>
      <c r="C26" s="13"/>
      <c r="D26" s="13"/>
      <c r="E26" s="14">
        <v>305</v>
      </c>
      <c r="F26" s="13"/>
      <c r="G26" s="13" t="s">
        <v>63</v>
      </c>
      <c r="H26" s="13"/>
      <c r="I26" s="15">
        <v>44347</v>
      </c>
      <c r="J26" s="13"/>
      <c r="K26" s="13"/>
      <c r="L26" s="13"/>
      <c r="M26" s="13"/>
      <c r="N26" s="13"/>
      <c r="O26" s="13"/>
      <c r="P26" s="13"/>
      <c r="Q26" s="16" t="s">
        <v>62</v>
      </c>
      <c r="R26" s="13"/>
      <c r="S26" s="17">
        <v>-1410.51</v>
      </c>
      <c r="T26" s="13"/>
      <c r="U26" s="17">
        <f t="shared" si="0"/>
        <v>-28249.73</v>
      </c>
      <c r="W26" s="22">
        <v>45443</v>
      </c>
      <c r="X26" s="2" t="str">
        <f>HYPERLINK("#bank!F" &amp; MATCH(E26, bank!F:F, 0), "BACK")</f>
        <v>BACK</v>
      </c>
      <c r="Y26" s="12">
        <v>1</v>
      </c>
    </row>
    <row r="27" spans="1:25" ht="19" thickBot="1" x14ac:dyDescent="0.5">
      <c r="A27" s="13"/>
      <c r="B27" s="13"/>
      <c r="C27" s="13"/>
      <c r="D27" s="13"/>
      <c r="E27" s="14">
        <v>767</v>
      </c>
      <c r="F27" s="13"/>
      <c r="G27" s="13" t="s">
        <v>58</v>
      </c>
      <c r="H27" s="13"/>
      <c r="I27" s="15">
        <v>44347</v>
      </c>
      <c r="J27" s="13"/>
      <c r="K27" s="13" t="s">
        <v>99</v>
      </c>
      <c r="L27" s="13"/>
      <c r="M27" s="13" t="s">
        <v>100</v>
      </c>
      <c r="N27" s="13"/>
      <c r="O27" s="13"/>
      <c r="P27" s="13"/>
      <c r="Q27" s="16" t="s">
        <v>62</v>
      </c>
      <c r="R27" s="13"/>
      <c r="S27" s="18">
        <v>-417.6</v>
      </c>
      <c r="T27" s="13"/>
      <c r="U27" s="18">
        <f t="shared" si="0"/>
        <v>-28667.33</v>
      </c>
      <c r="W27" s="22">
        <v>45443</v>
      </c>
      <c r="X27" s="2" t="str">
        <f>HYPERLINK("#bank!F" &amp; MATCH(E27, bank!F:F, 0), "BACK")</f>
        <v>BACK</v>
      </c>
      <c r="Y27" s="12">
        <v>1</v>
      </c>
    </row>
    <row r="28" spans="1:25" ht="18.5" x14ac:dyDescent="0.45">
      <c r="A28" s="13"/>
      <c r="B28" s="13"/>
      <c r="C28" s="13"/>
      <c r="D28" s="13" t="s">
        <v>101</v>
      </c>
      <c r="E28" s="14"/>
      <c r="F28" s="13"/>
      <c r="G28" s="13"/>
      <c r="H28" s="13"/>
      <c r="I28" s="15"/>
      <c r="J28" s="13"/>
      <c r="K28" s="13"/>
      <c r="L28" s="13"/>
      <c r="M28" s="13"/>
      <c r="N28" s="13"/>
      <c r="O28" s="13"/>
      <c r="P28" s="13"/>
      <c r="Q28" s="19"/>
      <c r="R28" s="13"/>
      <c r="S28" s="17">
        <f>ROUND(SUM(S4:S27),5)</f>
        <v>-28667.33</v>
      </c>
      <c r="T28" s="13"/>
      <c r="U28" s="17">
        <f>U27</f>
        <v>-28667.33</v>
      </c>
      <c r="X28" s="2"/>
      <c r="Y28" s="12">
        <v>1</v>
      </c>
    </row>
    <row r="29" spans="1:25" ht="18.5" x14ac:dyDescent="0.45">
      <c r="A29" s="7"/>
      <c r="B29" s="7"/>
      <c r="C29" s="7"/>
      <c r="D29" s="7" t="s">
        <v>102</v>
      </c>
      <c r="E29" s="8"/>
      <c r="F29" s="7"/>
      <c r="G29" s="7"/>
      <c r="H29" s="7"/>
      <c r="I29" s="9"/>
      <c r="J29" s="7"/>
      <c r="K29" s="7"/>
      <c r="L29" s="7"/>
      <c r="M29" s="7"/>
      <c r="N29" s="7"/>
      <c r="O29" s="7"/>
      <c r="P29" s="7"/>
      <c r="Q29" s="10"/>
      <c r="R29" s="7"/>
      <c r="S29" s="11"/>
      <c r="T29" s="7"/>
      <c r="U29" s="11"/>
      <c r="X29" s="2"/>
      <c r="Y29" s="12">
        <v>0</v>
      </c>
    </row>
    <row r="30" spans="1:25" ht="18.5" x14ac:dyDescent="0.45">
      <c r="A30" s="13"/>
      <c r="B30" s="13"/>
      <c r="C30" s="13"/>
      <c r="D30" s="13"/>
      <c r="E30" s="14">
        <v>769</v>
      </c>
      <c r="F30" s="13"/>
      <c r="G30" s="13" t="s">
        <v>103</v>
      </c>
      <c r="H30" s="13"/>
      <c r="I30" s="15">
        <v>44321</v>
      </c>
      <c r="J30" s="13"/>
      <c r="K30" s="13"/>
      <c r="L30" s="13"/>
      <c r="M30" s="13"/>
      <c r="N30" s="13"/>
      <c r="O30" s="13" t="s">
        <v>103</v>
      </c>
      <c r="P30" s="13"/>
      <c r="Q30" s="16" t="s">
        <v>62</v>
      </c>
      <c r="R30" s="13"/>
      <c r="S30" s="17">
        <v>327.63</v>
      </c>
      <c r="T30" s="13"/>
      <c r="U30" s="17">
        <f t="shared" ref="U30:U41" si="1">ROUND(U29+S30,5)</f>
        <v>327.63</v>
      </c>
      <c r="W30" s="22">
        <v>45417</v>
      </c>
      <c r="X30" s="2" t="str">
        <f>HYPERLINK("#bank!F" &amp; MATCH(E30, bank!F:F, 0), "BACK")</f>
        <v>BACK</v>
      </c>
      <c r="Y30" s="12">
        <v>1</v>
      </c>
    </row>
    <row r="31" spans="1:25" ht="18.5" x14ac:dyDescent="0.45">
      <c r="A31" s="13"/>
      <c r="B31" s="13"/>
      <c r="C31" s="13"/>
      <c r="D31" s="13"/>
      <c r="E31" s="14">
        <v>249</v>
      </c>
      <c r="F31" s="13"/>
      <c r="G31" s="13" t="s">
        <v>103</v>
      </c>
      <c r="H31" s="13"/>
      <c r="I31" s="15">
        <v>44321</v>
      </c>
      <c r="J31" s="13"/>
      <c r="K31" s="13"/>
      <c r="L31" s="13"/>
      <c r="M31" s="13"/>
      <c r="N31" s="13"/>
      <c r="O31" s="13" t="s">
        <v>103</v>
      </c>
      <c r="P31" s="13"/>
      <c r="Q31" s="16" t="s">
        <v>62</v>
      </c>
      <c r="R31" s="13"/>
      <c r="S31" s="17">
        <v>1732.67</v>
      </c>
      <c r="T31" s="13"/>
      <c r="U31" s="17">
        <f t="shared" si="1"/>
        <v>2060.3000000000002</v>
      </c>
      <c r="W31" s="22">
        <v>45417</v>
      </c>
      <c r="X31" s="2" t="str">
        <f>HYPERLINK("#bank!F" &amp; MATCH(E31, bank!F:F, 0), "BACK")</f>
        <v>BACK</v>
      </c>
      <c r="Y31" s="12">
        <v>1</v>
      </c>
    </row>
    <row r="32" spans="1:25" ht="18.5" x14ac:dyDescent="0.45">
      <c r="A32" s="13"/>
      <c r="B32" s="13"/>
      <c r="C32" s="13"/>
      <c r="D32" s="13"/>
      <c r="E32" s="14">
        <v>363</v>
      </c>
      <c r="F32" s="13"/>
      <c r="G32" s="13" t="s">
        <v>103</v>
      </c>
      <c r="H32" s="13"/>
      <c r="I32" s="15">
        <v>44334</v>
      </c>
      <c r="J32" s="13"/>
      <c r="K32" s="13"/>
      <c r="L32" s="13"/>
      <c r="M32" s="13"/>
      <c r="N32" s="13"/>
      <c r="O32" s="13" t="s">
        <v>103</v>
      </c>
      <c r="P32" s="13"/>
      <c r="Q32" s="16" t="s">
        <v>62</v>
      </c>
      <c r="R32" s="13"/>
      <c r="S32" s="17">
        <v>2050.7199999999998</v>
      </c>
      <c r="T32" s="13"/>
      <c r="U32" s="17">
        <f t="shared" si="1"/>
        <v>4111.0200000000004</v>
      </c>
      <c r="W32" s="22">
        <v>45430</v>
      </c>
      <c r="X32" s="2" t="str">
        <f>HYPERLINK("#bank!F" &amp; MATCH(E32, bank!F:F, 0), "BACK")</f>
        <v>BACK</v>
      </c>
      <c r="Y32" s="12">
        <v>1</v>
      </c>
    </row>
    <row r="33" spans="1:25" ht="18.5" x14ac:dyDescent="0.45">
      <c r="A33" s="13"/>
      <c r="B33" s="13"/>
      <c r="C33" s="13"/>
      <c r="D33" s="13"/>
      <c r="E33" s="14">
        <v>373</v>
      </c>
      <c r="F33" s="13"/>
      <c r="G33" s="13" t="s">
        <v>103</v>
      </c>
      <c r="H33" s="13"/>
      <c r="I33" s="15">
        <v>44334</v>
      </c>
      <c r="J33" s="13"/>
      <c r="K33" s="13"/>
      <c r="L33" s="13"/>
      <c r="M33" s="13"/>
      <c r="N33" s="13"/>
      <c r="O33" s="13" t="s">
        <v>103</v>
      </c>
      <c r="P33" s="13"/>
      <c r="Q33" s="16" t="s">
        <v>62</v>
      </c>
      <c r="R33" s="13"/>
      <c r="S33" s="17">
        <v>4152.75</v>
      </c>
      <c r="T33" s="13"/>
      <c r="U33" s="17">
        <f t="shared" si="1"/>
        <v>8263.77</v>
      </c>
      <c r="W33" s="22">
        <v>45430</v>
      </c>
      <c r="X33" s="2" t="str">
        <f>HYPERLINK("#bank!F" &amp; MATCH(E33, bank!F:F, 0), "BACK")</f>
        <v>BACK</v>
      </c>
      <c r="Y33" s="12">
        <v>1</v>
      </c>
    </row>
    <row r="34" spans="1:25" ht="18.5" x14ac:dyDescent="0.45">
      <c r="A34" s="13"/>
      <c r="B34" s="13"/>
      <c r="C34" s="13"/>
      <c r="D34" s="13"/>
      <c r="E34" s="14">
        <v>398</v>
      </c>
      <c r="F34" s="13"/>
      <c r="G34" s="13" t="s">
        <v>103</v>
      </c>
      <c r="H34" s="13"/>
      <c r="I34" s="15">
        <v>44336</v>
      </c>
      <c r="J34" s="13"/>
      <c r="K34" s="13"/>
      <c r="L34" s="13"/>
      <c r="M34" s="13"/>
      <c r="N34" s="13"/>
      <c r="O34" s="13" t="s">
        <v>103</v>
      </c>
      <c r="P34" s="13"/>
      <c r="Q34" s="16" t="s">
        <v>62</v>
      </c>
      <c r="R34" s="13"/>
      <c r="S34" s="17">
        <v>74.73</v>
      </c>
      <c r="T34" s="13"/>
      <c r="U34" s="17">
        <f t="shared" si="1"/>
        <v>8338.5</v>
      </c>
      <c r="W34" s="22">
        <v>45432</v>
      </c>
      <c r="X34" s="2" t="str">
        <f>HYPERLINK("#bank!F" &amp; MATCH(E34, bank!F:F, 0), "BACK")</f>
        <v>BACK</v>
      </c>
      <c r="Y34" s="12">
        <v>1</v>
      </c>
    </row>
    <row r="35" spans="1:25" ht="18.5" x14ac:dyDescent="0.45">
      <c r="A35" s="13"/>
      <c r="B35" s="13"/>
      <c r="C35" s="13"/>
      <c r="D35" s="13"/>
      <c r="E35" s="14">
        <v>399</v>
      </c>
      <c r="F35" s="13"/>
      <c r="G35" s="13" t="s">
        <v>103</v>
      </c>
      <c r="H35" s="13"/>
      <c r="I35" s="15">
        <v>44336</v>
      </c>
      <c r="J35" s="13"/>
      <c r="K35" s="13"/>
      <c r="L35" s="13"/>
      <c r="M35" s="13"/>
      <c r="N35" s="13"/>
      <c r="O35" s="13" t="s">
        <v>103</v>
      </c>
      <c r="P35" s="13"/>
      <c r="Q35" s="16" t="s">
        <v>62</v>
      </c>
      <c r="R35" s="13"/>
      <c r="S35" s="17">
        <v>915.75</v>
      </c>
      <c r="T35" s="13"/>
      <c r="U35" s="17">
        <f t="shared" si="1"/>
        <v>9254.25</v>
      </c>
      <c r="W35" s="22">
        <v>45432</v>
      </c>
      <c r="X35" s="2" t="str">
        <f>HYPERLINK("#bank!F" &amp; MATCH(E35, bank!F:F, 0), "BACK")</f>
        <v>BACK</v>
      </c>
      <c r="Y35" s="12">
        <v>1</v>
      </c>
    </row>
    <row r="36" spans="1:25" ht="18.5" x14ac:dyDescent="0.45">
      <c r="A36" s="13"/>
      <c r="B36" s="13"/>
      <c r="C36" s="13"/>
      <c r="D36" s="13"/>
      <c r="E36" s="14">
        <v>411</v>
      </c>
      <c r="F36" s="13"/>
      <c r="G36" s="13" t="s">
        <v>103</v>
      </c>
      <c r="H36" s="13"/>
      <c r="I36" s="15">
        <v>44337</v>
      </c>
      <c r="J36" s="13"/>
      <c r="K36" s="13"/>
      <c r="L36" s="13"/>
      <c r="M36" s="13"/>
      <c r="N36" s="13"/>
      <c r="O36" s="13" t="s">
        <v>103</v>
      </c>
      <c r="P36" s="13"/>
      <c r="Q36" s="16" t="s">
        <v>62</v>
      </c>
      <c r="R36" s="13"/>
      <c r="S36" s="17">
        <v>669.91</v>
      </c>
      <c r="T36" s="13"/>
      <c r="U36" s="17">
        <f t="shared" si="1"/>
        <v>9924.16</v>
      </c>
      <c r="W36" s="22">
        <v>45432</v>
      </c>
      <c r="X36" s="2" t="str">
        <f>HYPERLINK("#bank!F" &amp; MATCH(E36, bank!F:F, 0), "BACK")</f>
        <v>BACK</v>
      </c>
      <c r="Y36" s="12">
        <v>1</v>
      </c>
    </row>
    <row r="37" spans="1:25" ht="18.5" x14ac:dyDescent="0.45">
      <c r="A37" s="13"/>
      <c r="B37" s="13"/>
      <c r="C37" s="13"/>
      <c r="D37" s="13"/>
      <c r="E37" s="14">
        <v>2006</v>
      </c>
      <c r="F37" s="13"/>
      <c r="G37" s="13" t="s">
        <v>103</v>
      </c>
      <c r="H37" s="13"/>
      <c r="I37" s="15">
        <v>44342</v>
      </c>
      <c r="J37" s="13"/>
      <c r="K37" s="13"/>
      <c r="L37" s="13"/>
      <c r="M37" s="13"/>
      <c r="N37" s="13"/>
      <c r="O37" s="13" t="s">
        <v>103</v>
      </c>
      <c r="P37" s="13"/>
      <c r="Q37" s="16" t="s">
        <v>62</v>
      </c>
      <c r="R37" s="13"/>
      <c r="S37" s="17">
        <v>4750.3500000000004</v>
      </c>
      <c r="T37" s="13"/>
      <c r="U37" s="17">
        <f t="shared" si="1"/>
        <v>14674.51</v>
      </c>
      <c r="W37" s="22">
        <v>45438</v>
      </c>
      <c r="X37" s="2" t="str">
        <f>HYPERLINK("#bank!F" &amp; MATCH(E37, bank!F:F, 0), "BACK")</f>
        <v>BACK</v>
      </c>
      <c r="Y37" s="12">
        <v>1</v>
      </c>
    </row>
    <row r="38" spans="1:25" ht="18.5" x14ac:dyDescent="0.45">
      <c r="A38" s="13"/>
      <c r="B38" s="13"/>
      <c r="C38" s="13"/>
      <c r="D38" s="13"/>
      <c r="E38" s="14">
        <v>422</v>
      </c>
      <c r="F38" s="13"/>
      <c r="G38" s="13" t="s">
        <v>103</v>
      </c>
      <c r="H38" s="13"/>
      <c r="I38" s="15">
        <v>44343</v>
      </c>
      <c r="J38" s="13"/>
      <c r="K38" s="13"/>
      <c r="L38" s="13"/>
      <c r="M38" s="13"/>
      <c r="N38" s="13"/>
      <c r="O38" s="13" t="s">
        <v>103</v>
      </c>
      <c r="P38" s="13"/>
      <c r="Q38" s="16" t="s">
        <v>62</v>
      </c>
      <c r="R38" s="13"/>
      <c r="S38" s="17"/>
      <c r="T38" s="13"/>
      <c r="U38" s="17">
        <f t="shared" si="1"/>
        <v>14674.51</v>
      </c>
      <c r="X38" s="2"/>
      <c r="Y38" s="12">
        <v>0</v>
      </c>
    </row>
    <row r="39" spans="1:25" ht="18.5" x14ac:dyDescent="0.45">
      <c r="A39" s="13"/>
      <c r="B39" s="13"/>
      <c r="C39" s="13"/>
      <c r="D39" s="13"/>
      <c r="E39" s="14">
        <v>418</v>
      </c>
      <c r="F39" s="13"/>
      <c r="G39" s="13" t="s">
        <v>103</v>
      </c>
      <c r="H39" s="13"/>
      <c r="I39" s="15">
        <v>44343</v>
      </c>
      <c r="J39" s="13"/>
      <c r="K39" s="13"/>
      <c r="L39" s="13"/>
      <c r="M39" s="13"/>
      <c r="N39" s="13"/>
      <c r="O39" s="13" t="s">
        <v>103</v>
      </c>
      <c r="P39" s="13"/>
      <c r="Q39" s="16" t="s">
        <v>62</v>
      </c>
      <c r="R39" s="13"/>
      <c r="S39" s="17">
        <v>264.44</v>
      </c>
      <c r="T39" s="13"/>
      <c r="U39" s="17">
        <f t="shared" si="1"/>
        <v>14938.95</v>
      </c>
      <c r="W39" s="22">
        <v>45439</v>
      </c>
      <c r="X39" s="2" t="str">
        <f>HYPERLINK("#bank!F" &amp; MATCH(E39, bank!F:F, 0), "BACK")</f>
        <v>BACK</v>
      </c>
      <c r="Y39" s="12">
        <v>1</v>
      </c>
    </row>
    <row r="40" spans="1:25" ht="18.5" x14ac:dyDescent="0.45">
      <c r="A40" s="13"/>
      <c r="B40" s="13"/>
      <c r="C40" s="13"/>
      <c r="D40" s="13"/>
      <c r="E40" s="14">
        <v>427</v>
      </c>
      <c r="F40" s="13"/>
      <c r="G40" s="13" t="s">
        <v>103</v>
      </c>
      <c r="H40" s="13"/>
      <c r="I40" s="15">
        <v>44343</v>
      </c>
      <c r="J40" s="13"/>
      <c r="K40" s="13"/>
      <c r="L40" s="13"/>
      <c r="M40" s="13"/>
      <c r="N40" s="13"/>
      <c r="O40" s="13" t="s">
        <v>103</v>
      </c>
      <c r="P40" s="13"/>
      <c r="Q40" s="16" t="s">
        <v>62</v>
      </c>
      <c r="R40" s="13"/>
      <c r="S40" s="17">
        <v>930.37</v>
      </c>
      <c r="T40" s="13"/>
      <c r="U40" s="17">
        <f t="shared" si="1"/>
        <v>15869.32</v>
      </c>
      <c r="W40" s="22">
        <v>45440</v>
      </c>
      <c r="X40" s="2" t="str">
        <f>HYPERLINK("#bank!F" &amp; MATCH(E40, bank!F:F, 0), "BACK")</f>
        <v>BACK</v>
      </c>
      <c r="Y40" s="12">
        <v>1</v>
      </c>
    </row>
    <row r="41" spans="1:25" ht="19" thickBot="1" x14ac:dyDescent="0.5">
      <c r="A41" s="13"/>
      <c r="B41" s="13"/>
      <c r="C41" s="13"/>
      <c r="D41" s="13"/>
      <c r="E41" s="14">
        <v>772</v>
      </c>
      <c r="F41" s="13"/>
      <c r="G41" s="13" t="s">
        <v>103</v>
      </c>
      <c r="H41" s="13"/>
      <c r="I41" s="15">
        <v>44347</v>
      </c>
      <c r="J41" s="13"/>
      <c r="K41" s="13"/>
      <c r="L41" s="13"/>
      <c r="M41" s="13"/>
      <c r="N41" s="13"/>
      <c r="O41" s="13" t="s">
        <v>103</v>
      </c>
      <c r="P41" s="13"/>
      <c r="Q41" s="16" t="s">
        <v>62</v>
      </c>
      <c r="R41" s="13"/>
      <c r="S41" s="17">
        <v>2890.99</v>
      </c>
      <c r="T41" s="13"/>
      <c r="U41" s="17">
        <f t="shared" si="1"/>
        <v>18760.310000000001</v>
      </c>
      <c r="W41" s="22">
        <v>45443</v>
      </c>
      <c r="X41" s="2" t="str">
        <f>HYPERLINK("#bank!F" &amp; MATCH(E41, bank!F:F, 0), "BACK")</f>
        <v>BACK</v>
      </c>
      <c r="Y41" s="12">
        <v>1</v>
      </c>
    </row>
    <row r="42" spans="1:25" ht="15" thickBot="1" x14ac:dyDescent="0.4">
      <c r="A42" s="13"/>
      <c r="B42" s="13"/>
      <c r="C42" s="13"/>
      <c r="D42" s="13" t="s">
        <v>104</v>
      </c>
      <c r="E42" s="14"/>
      <c r="F42" s="13"/>
      <c r="G42" s="13"/>
      <c r="H42" s="13"/>
      <c r="I42" s="15"/>
      <c r="J42" s="13"/>
      <c r="K42" s="13"/>
      <c r="L42" s="13"/>
      <c r="M42" s="13"/>
      <c r="N42" s="13"/>
      <c r="O42" s="13"/>
      <c r="P42" s="13"/>
      <c r="Q42" s="19"/>
      <c r="R42" s="13"/>
      <c r="S42" s="20">
        <f>ROUND(SUM(S29:S41),5)</f>
        <v>18760.310000000001</v>
      </c>
      <c r="T42" s="13"/>
      <c r="U42" s="20">
        <f>U41</f>
        <v>18760.310000000001</v>
      </c>
      <c r="Y42" s="12">
        <v>1</v>
      </c>
    </row>
    <row r="43" spans="1:25" ht="15" thickBot="1" x14ac:dyDescent="0.4">
      <c r="A43" s="13"/>
      <c r="B43" s="13"/>
      <c r="C43" s="13" t="s">
        <v>105</v>
      </c>
      <c r="D43" s="13"/>
      <c r="E43" s="14"/>
      <c r="F43" s="13"/>
      <c r="G43" s="13"/>
      <c r="H43" s="13"/>
      <c r="I43" s="15"/>
      <c r="J43" s="13"/>
      <c r="K43" s="13"/>
      <c r="L43" s="13"/>
      <c r="M43" s="13"/>
      <c r="N43" s="13"/>
      <c r="O43" s="13"/>
      <c r="P43" s="13"/>
      <c r="Q43" s="19"/>
      <c r="R43" s="13"/>
      <c r="S43" s="20">
        <f>ROUND(S28+S42,5)</f>
        <v>-9907.02</v>
      </c>
      <c r="T43" s="13"/>
      <c r="U43" s="20">
        <f>ROUND(U28+U42,5)</f>
        <v>-9907.02</v>
      </c>
      <c r="Y43" s="12">
        <v>3</v>
      </c>
    </row>
    <row r="44" spans="1:25" ht="15" thickBot="1" x14ac:dyDescent="0.4">
      <c r="A44" s="13" t="s">
        <v>106</v>
      </c>
      <c r="B44" s="13"/>
      <c r="C44" s="13"/>
      <c r="D44" s="13"/>
      <c r="E44" s="14"/>
      <c r="F44" s="13"/>
      <c r="G44" s="13"/>
      <c r="H44" s="13"/>
      <c r="I44" s="15"/>
      <c r="J44" s="13"/>
      <c r="K44" s="13"/>
      <c r="L44" s="13"/>
      <c r="M44" s="13"/>
      <c r="N44" s="13"/>
      <c r="O44" s="13"/>
      <c r="P44" s="13"/>
      <c r="Q44" s="19"/>
      <c r="R44" s="13"/>
      <c r="S44" s="21">
        <v>-9907.02</v>
      </c>
      <c r="T44" s="13"/>
      <c r="U44" s="21">
        <v>65194.57</v>
      </c>
      <c r="Y44" s="12">
        <v>3</v>
      </c>
    </row>
    <row r="45" spans="1:25" x14ac:dyDescent="0.35">
      <c r="A45" s="13" t="s">
        <v>107</v>
      </c>
      <c r="B45" s="13"/>
      <c r="C45" s="13"/>
      <c r="D45" s="13"/>
      <c r="E45" s="14"/>
      <c r="F45" s="13"/>
      <c r="G45" s="13"/>
      <c r="H45" s="13"/>
      <c r="I45" s="15"/>
      <c r="J45" s="13"/>
      <c r="K45" s="13"/>
      <c r="L45" s="13"/>
      <c r="M45" s="13"/>
      <c r="N45" s="13"/>
      <c r="O45" s="13"/>
      <c r="P45" s="13"/>
      <c r="Q45" s="19"/>
      <c r="R45" s="13"/>
      <c r="S45" s="17">
        <f>S44</f>
        <v>-9907.02</v>
      </c>
      <c r="T45" s="13"/>
      <c r="U45" s="17">
        <f>U44</f>
        <v>65194.57</v>
      </c>
      <c r="Y45" s="12">
        <v>3</v>
      </c>
    </row>
  </sheetData>
  <pageMargins left="0.7" right="0.7" top="0.75" bottom="0.75" header="0.1" footer="0.3"/>
  <pageSetup orientation="portrait" horizontalDpi="0" verticalDpi="0" r:id="rId1"/>
  <headerFooter>
    <oddHeader>&amp;L&amp;"Arial,Bold"&amp;8 11:45 AM
&amp;"Arial,Bold"&amp;8 2024-05-12
&amp;"Arial,Bold"&amp;8 &amp;C&amp;"Arial,Bold"&amp;12 MACHINERIES DE TEXTILE REGENT LTÉE
&amp;"Arial,Bold"&amp;14 Reconciliation Detail
&amp;"Arial,Bold"&amp;10 10100 · Banque CAD, Period Ending 05/31/2021</oddHeader>
    <oddFooter>&amp;R&amp;"Arial,Bold"&amp;8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AD768-CAD7-4459-8967-42A3B1C291B9}">
  <sheetPr codeName="Sheet1"/>
  <dimension ref="A1:H38"/>
  <sheetViews>
    <sheetView tabSelected="1" workbookViewId="0">
      <selection activeCell="E5" sqref="E5"/>
    </sheetView>
  </sheetViews>
  <sheetFormatPr defaultRowHeight="18.5" x14ac:dyDescent="0.45"/>
  <cols>
    <col min="1" max="1" width="12.0703125" customWidth="1"/>
    <col min="2" max="2" width="23.7109375" customWidth="1"/>
  </cols>
  <sheetData>
    <row r="1" spans="1:8" x14ac:dyDescent="0.45">
      <c r="A1" t="s">
        <v>45</v>
      </c>
      <c r="B1" t="s">
        <v>44</v>
      </c>
      <c r="C1" t="s">
        <v>43</v>
      </c>
      <c r="D1" t="s">
        <v>42</v>
      </c>
      <c r="E1" t="s">
        <v>54</v>
      </c>
      <c r="F1" t="s">
        <v>109</v>
      </c>
      <c r="G1" t="s">
        <v>110</v>
      </c>
      <c r="H1" t="s">
        <v>108</v>
      </c>
    </row>
    <row r="2" spans="1:8" x14ac:dyDescent="0.45">
      <c r="A2" s="1" t="s">
        <v>38</v>
      </c>
      <c r="B2" s="1" t="s">
        <v>13</v>
      </c>
      <c r="C2" s="1">
        <v>5177.34</v>
      </c>
      <c r="D2" s="1"/>
      <c r="F2">
        <v>233</v>
      </c>
      <c r="G2" s="2" t="str">
        <f>HYPERLINK("#cash!E" &amp; MATCH(F2, cash!E:E, 0), "Go")</f>
        <v>Go</v>
      </c>
      <c r="H2">
        <v>1</v>
      </c>
    </row>
    <row r="3" spans="1:8" x14ac:dyDescent="0.45">
      <c r="A3" s="1" t="s">
        <v>9</v>
      </c>
      <c r="B3" s="1" t="s">
        <v>8</v>
      </c>
      <c r="C3" s="1">
        <v>5000</v>
      </c>
      <c r="D3" s="1"/>
      <c r="F3">
        <v>419</v>
      </c>
      <c r="G3" s="2" t="str">
        <f>HYPERLINK("#cash!E" &amp; MATCH(F3, cash!E:E, 0), "Go")</f>
        <v>Go</v>
      </c>
      <c r="H3">
        <v>1</v>
      </c>
    </row>
    <row r="4" spans="1:8" x14ac:dyDescent="0.45">
      <c r="A4" s="1" t="s">
        <v>35</v>
      </c>
      <c r="B4" s="1" t="s">
        <v>13</v>
      </c>
      <c r="C4" s="1">
        <v>4276.01</v>
      </c>
      <c r="D4" s="1"/>
      <c r="F4">
        <v>2042</v>
      </c>
      <c r="G4" s="2" t="e">
        <f>HYPERLINK("#cash!E" &amp; MATCH(F4, cash!E:E, 0), "Go")</f>
        <v>#N/A</v>
      </c>
      <c r="H4">
        <v>1</v>
      </c>
    </row>
    <row r="5" spans="1:8" x14ac:dyDescent="0.45">
      <c r="A5" s="1" t="s">
        <v>14</v>
      </c>
      <c r="B5" s="1" t="s">
        <v>13</v>
      </c>
      <c r="C5" s="1">
        <v>2214.34</v>
      </c>
      <c r="D5" s="1"/>
      <c r="F5">
        <v>764</v>
      </c>
      <c r="G5" s="2" t="str">
        <f>HYPERLINK("#cash!E" &amp; MATCH(F5, cash!E:E, 0), "Go")</f>
        <v>Go</v>
      </c>
      <c r="H5">
        <v>1</v>
      </c>
    </row>
    <row r="6" spans="1:8" x14ac:dyDescent="0.45">
      <c r="A6" s="1" t="s">
        <v>16</v>
      </c>
      <c r="B6" s="1" t="s">
        <v>18</v>
      </c>
      <c r="C6" s="1">
        <v>1955.48</v>
      </c>
      <c r="D6" s="1"/>
      <c r="F6">
        <v>370</v>
      </c>
      <c r="G6" s="2" t="str">
        <f>HYPERLINK("#cash!E" &amp; MATCH(F6, cash!E:E, 0), "Go")</f>
        <v>Go</v>
      </c>
      <c r="H6">
        <v>1</v>
      </c>
    </row>
    <row r="7" spans="1:8" x14ac:dyDescent="0.45">
      <c r="A7" s="1" t="s">
        <v>14</v>
      </c>
      <c r="B7" s="1" t="s">
        <v>13</v>
      </c>
      <c r="C7" s="1">
        <v>1891.34</v>
      </c>
      <c r="D7" s="1"/>
      <c r="F7">
        <v>401</v>
      </c>
      <c r="G7" s="2" t="str">
        <f>HYPERLINK("#cash!E" &amp; MATCH(F7, cash!E:E, 0), "Go")</f>
        <v>Go</v>
      </c>
      <c r="H7">
        <v>1</v>
      </c>
    </row>
    <row r="8" spans="1:8" x14ac:dyDescent="0.45">
      <c r="A8" s="1" t="s">
        <v>1</v>
      </c>
      <c r="B8" s="1" t="s">
        <v>5</v>
      </c>
      <c r="C8" s="1">
        <v>1410.51</v>
      </c>
      <c r="D8" s="1"/>
      <c r="F8">
        <v>305</v>
      </c>
      <c r="G8" s="2" t="str">
        <f>HYPERLINK("#cash!E" &amp; MATCH(F8, cash!E:E, 0), "Go")</f>
        <v>Go</v>
      </c>
      <c r="H8">
        <v>1</v>
      </c>
    </row>
    <row r="9" spans="1:8" x14ac:dyDescent="0.45">
      <c r="A9" s="1" t="s">
        <v>26</v>
      </c>
      <c r="B9" s="1" t="s">
        <v>25</v>
      </c>
      <c r="C9" s="1">
        <v>980.2</v>
      </c>
      <c r="D9" s="1"/>
      <c r="F9">
        <v>318</v>
      </c>
      <c r="G9" s="2" t="str">
        <f>HYPERLINK("#cash!E" &amp; MATCH(F9, cash!E:E, 0), "Go")</f>
        <v>Go</v>
      </c>
      <c r="H9">
        <v>1</v>
      </c>
    </row>
    <row r="10" spans="1:8" x14ac:dyDescent="0.45">
      <c r="A10" s="1" t="s">
        <v>33</v>
      </c>
      <c r="B10" s="1" t="s">
        <v>32</v>
      </c>
      <c r="C10" s="1">
        <v>641.36</v>
      </c>
      <c r="D10" s="1"/>
      <c r="F10">
        <v>280</v>
      </c>
      <c r="G10" s="2" t="str">
        <f>HYPERLINK("#cash!E" &amp; MATCH(F10, cash!E:E, 0), "Go")</f>
        <v>Go</v>
      </c>
      <c r="H10">
        <v>1</v>
      </c>
    </row>
    <row r="11" spans="1:8" x14ac:dyDescent="0.45">
      <c r="A11" s="1" t="s">
        <v>30</v>
      </c>
      <c r="B11" s="1" t="s">
        <v>29</v>
      </c>
      <c r="C11" s="1">
        <v>565</v>
      </c>
      <c r="D11" s="1"/>
      <c r="F11">
        <v>195</v>
      </c>
      <c r="G11" s="2" t="str">
        <f>HYPERLINK("#cash!E" &amp; MATCH(F11, cash!E:E, 0), "Go")</f>
        <v>Go</v>
      </c>
      <c r="H11">
        <v>1</v>
      </c>
    </row>
    <row r="12" spans="1:8" x14ac:dyDescent="0.45">
      <c r="A12" s="1" t="s">
        <v>26</v>
      </c>
      <c r="B12" s="1" t="s">
        <v>27</v>
      </c>
      <c r="C12" s="1">
        <v>443.72</v>
      </c>
      <c r="D12" s="1"/>
      <c r="F12">
        <v>317</v>
      </c>
      <c r="G12" s="2" t="str">
        <f>HYPERLINK("#cash!E" &amp; MATCH(F12, cash!E:E, 0), "Go")</f>
        <v>Go</v>
      </c>
      <c r="H12">
        <v>1</v>
      </c>
    </row>
    <row r="13" spans="1:8" x14ac:dyDescent="0.45">
      <c r="A13" s="1" t="s">
        <v>1</v>
      </c>
      <c r="B13" s="1" t="s">
        <v>4</v>
      </c>
      <c r="C13" s="1">
        <v>417.6</v>
      </c>
      <c r="D13" s="1"/>
      <c r="F13">
        <v>767</v>
      </c>
      <c r="G13" s="2" t="str">
        <f>HYPERLINK("#cash!E" &amp; MATCH(F13, cash!E:E, 0), "Go")</f>
        <v>Go</v>
      </c>
      <c r="H13">
        <v>1</v>
      </c>
    </row>
    <row r="14" spans="1:8" x14ac:dyDescent="0.45">
      <c r="A14" s="1" t="s">
        <v>16</v>
      </c>
      <c r="B14" s="1" t="s">
        <v>19</v>
      </c>
      <c r="C14" s="1">
        <v>370.79</v>
      </c>
      <c r="D14" s="1"/>
      <c r="F14">
        <v>375</v>
      </c>
      <c r="G14" s="2" t="str">
        <f>HYPERLINK("#cash!E" &amp; MATCH(F14, cash!E:E, 0), "Go")</f>
        <v>Go</v>
      </c>
      <c r="H14">
        <v>1</v>
      </c>
    </row>
    <row r="15" spans="1:8" x14ac:dyDescent="0.45">
      <c r="A15" s="1" t="s">
        <v>40</v>
      </c>
      <c r="B15" s="1" t="s">
        <v>41</v>
      </c>
      <c r="C15" s="1">
        <v>165.91</v>
      </c>
      <c r="D15" s="1"/>
      <c r="F15">
        <v>239</v>
      </c>
      <c r="G15" s="2" t="str">
        <f>HYPERLINK("#cash!E" &amp; MATCH(F15, cash!E:E, 0), "Go")</f>
        <v>Go</v>
      </c>
      <c r="H15">
        <v>1</v>
      </c>
    </row>
    <row r="16" spans="1:8" x14ac:dyDescent="0.45">
      <c r="A16" s="1" t="s">
        <v>16</v>
      </c>
      <c r="B16" s="1" t="s">
        <v>15</v>
      </c>
      <c r="C16" s="1">
        <v>114.19</v>
      </c>
      <c r="D16" s="1"/>
      <c r="F16">
        <v>371</v>
      </c>
      <c r="G16" s="2" t="str">
        <f>HYPERLINK("#cash!E" &amp; MATCH(F16, cash!E:E, 0), "Go")</f>
        <v>Go</v>
      </c>
      <c r="H16">
        <v>1</v>
      </c>
    </row>
    <row r="17" spans="1:8" x14ac:dyDescent="0.45">
      <c r="A17" s="1" t="s">
        <v>1</v>
      </c>
      <c r="B17" s="1" t="s">
        <v>2</v>
      </c>
      <c r="C17" s="1">
        <v>39</v>
      </c>
      <c r="D17" s="1"/>
      <c r="F17">
        <v>2042</v>
      </c>
      <c r="G17" s="2" t="e">
        <f>HYPERLINK("#cash!E" &amp; MATCH(F17, cash!E:E, 0), "Go")</f>
        <v>#N/A</v>
      </c>
      <c r="H17">
        <v>1</v>
      </c>
    </row>
    <row r="18" spans="1:8" x14ac:dyDescent="0.45">
      <c r="A18" s="1" t="s">
        <v>26</v>
      </c>
      <c r="B18" s="1" t="s">
        <v>28</v>
      </c>
      <c r="C18" s="1">
        <v>8.58</v>
      </c>
      <c r="D18" s="1"/>
      <c r="F18">
        <v>414</v>
      </c>
      <c r="G18" s="2" t="str">
        <f>HYPERLINK("#cash!E" &amp; MATCH(F18, cash!E:E, 0), "Go")</f>
        <v>Go</v>
      </c>
      <c r="H18">
        <v>1</v>
      </c>
    </row>
    <row r="19" spans="1:8" x14ac:dyDescent="0.45">
      <c r="A19" s="1" t="s">
        <v>40</v>
      </c>
      <c r="B19" s="1" t="s">
        <v>39</v>
      </c>
      <c r="C19" s="1">
        <v>4</v>
      </c>
      <c r="D19" s="1"/>
      <c r="F19">
        <v>762</v>
      </c>
      <c r="G19" s="2" t="str">
        <f>HYPERLINK("#cash!E" &amp; MATCH(F19, cash!E:E, 0), "Go")</f>
        <v>Go</v>
      </c>
      <c r="H19">
        <v>1</v>
      </c>
    </row>
    <row r="20" spans="1:8" x14ac:dyDescent="0.45">
      <c r="A20" s="1" t="s">
        <v>1</v>
      </c>
      <c r="B20" s="1" t="s">
        <v>0</v>
      </c>
      <c r="C20" s="1"/>
      <c r="D20" s="1">
        <v>39</v>
      </c>
      <c r="F20">
        <v>2042</v>
      </c>
      <c r="G20" s="2" t="e">
        <f>HYPERLINK("#cash!E" &amp; MATCH(F20, cash!E:E, 0), "Go")</f>
        <v>#N/A</v>
      </c>
      <c r="H20">
        <v>1</v>
      </c>
    </row>
    <row r="21" spans="1:8" x14ac:dyDescent="0.45">
      <c r="A21" s="1" t="s">
        <v>20</v>
      </c>
      <c r="B21" s="1" t="s">
        <v>10</v>
      </c>
      <c r="C21" s="1"/>
      <c r="D21" s="1">
        <v>74.73</v>
      </c>
      <c r="F21">
        <v>398</v>
      </c>
      <c r="G21" s="2" t="str">
        <f>HYPERLINK("#cash!E" &amp; MATCH(F21, cash!E:E, 0), "Go")</f>
        <v>Go</v>
      </c>
      <c r="H21">
        <v>1</v>
      </c>
    </row>
    <row r="22" spans="1:8" x14ac:dyDescent="0.45">
      <c r="A22" s="1" t="s">
        <v>9</v>
      </c>
      <c r="B22" s="1" t="s">
        <v>10</v>
      </c>
      <c r="C22" s="1"/>
      <c r="D22" s="1">
        <v>264.44</v>
      </c>
      <c r="F22">
        <v>418</v>
      </c>
      <c r="G22" s="2" t="str">
        <f>HYPERLINK("#cash!E" &amp; MATCH(F22, cash!E:E, 0), "Go")</f>
        <v>Go</v>
      </c>
      <c r="H22">
        <v>1</v>
      </c>
    </row>
    <row r="23" spans="1:8" x14ac:dyDescent="0.45">
      <c r="A23" s="1" t="s">
        <v>37</v>
      </c>
      <c r="B23" s="1" t="s">
        <v>36</v>
      </c>
      <c r="C23" s="1"/>
      <c r="D23" s="1">
        <v>327.63</v>
      </c>
      <c r="F23">
        <v>769</v>
      </c>
      <c r="G23" s="2" t="str">
        <f>HYPERLINK("#cash!E" &amp; MATCH(F23, cash!E:E, 0), "Go")</f>
        <v>Go</v>
      </c>
      <c r="H23">
        <v>1</v>
      </c>
    </row>
    <row r="24" spans="1:8" x14ac:dyDescent="0.45">
      <c r="A24" s="1" t="s">
        <v>20</v>
      </c>
      <c r="B24" s="1" t="s">
        <v>21</v>
      </c>
      <c r="C24" s="1"/>
      <c r="D24" s="1">
        <v>669.91</v>
      </c>
      <c r="F24">
        <v>411</v>
      </c>
      <c r="G24" s="2" t="str">
        <f>HYPERLINK("#cash!E" &amp; MATCH(F24, cash!E:E, 0), "Go")</f>
        <v>Go</v>
      </c>
      <c r="H24">
        <v>1</v>
      </c>
    </row>
    <row r="25" spans="1:8" x14ac:dyDescent="0.45">
      <c r="A25" s="1" t="s">
        <v>20</v>
      </c>
      <c r="B25" s="1" t="s">
        <v>10</v>
      </c>
      <c r="C25" s="1"/>
      <c r="D25" s="1">
        <v>915.75</v>
      </c>
      <c r="F25">
        <v>399</v>
      </c>
      <c r="G25" s="2" t="str">
        <f>HYPERLINK("#cash!E" &amp; MATCH(F25, cash!E:E, 0), "Go")</f>
        <v>Go</v>
      </c>
      <c r="H25">
        <v>1</v>
      </c>
    </row>
    <row r="26" spans="1:8" x14ac:dyDescent="0.45">
      <c r="A26" s="1" t="s">
        <v>7</v>
      </c>
      <c r="B26" s="1" t="s">
        <v>6</v>
      </c>
      <c r="C26" s="1"/>
      <c r="D26" s="1">
        <v>930.37</v>
      </c>
      <c r="F26">
        <v>427</v>
      </c>
      <c r="G26" s="2" t="str">
        <f>HYPERLINK("#cash!E" &amp; MATCH(F26, cash!E:E, 0), "Go")</f>
        <v>Go</v>
      </c>
      <c r="H26">
        <v>1</v>
      </c>
    </row>
    <row r="27" spans="1:8" x14ac:dyDescent="0.45">
      <c r="A27" s="1" t="s">
        <v>23</v>
      </c>
      <c r="B27" s="1" t="s">
        <v>24</v>
      </c>
      <c r="C27" s="1"/>
      <c r="D27" s="1">
        <v>1477.98</v>
      </c>
      <c r="F27">
        <v>2042</v>
      </c>
      <c r="G27" s="2" t="e">
        <f>HYPERLINK("#cash!E" &amp; MATCH(F27, cash!E:E, 0), "Go")</f>
        <v>#N/A</v>
      </c>
      <c r="H27">
        <v>1</v>
      </c>
    </row>
    <row r="28" spans="1:8" x14ac:dyDescent="0.45">
      <c r="A28" s="1" t="s">
        <v>37</v>
      </c>
      <c r="B28" s="1" t="s">
        <v>10</v>
      </c>
      <c r="C28" s="1"/>
      <c r="D28" s="1">
        <v>1732.67</v>
      </c>
      <c r="F28">
        <v>249</v>
      </c>
      <c r="G28" s="2" t="str">
        <f>HYPERLINK("#cash!E" &amp; MATCH(F28, cash!E:E, 0), "Go")</f>
        <v>Go</v>
      </c>
      <c r="H28">
        <v>1</v>
      </c>
    </row>
    <row r="29" spans="1:8" x14ac:dyDescent="0.45">
      <c r="A29" s="1" t="s">
        <v>23</v>
      </c>
      <c r="B29" s="1" t="s">
        <v>10</v>
      </c>
      <c r="C29" s="1"/>
      <c r="D29" s="1">
        <v>2050.7199999999998</v>
      </c>
      <c r="F29">
        <v>363</v>
      </c>
      <c r="G29" s="2" t="str">
        <f>HYPERLINK("#cash!E" &amp; MATCH(F29, cash!E:E, 0), "Go")</f>
        <v>Go</v>
      </c>
      <c r="H29">
        <v>1</v>
      </c>
    </row>
    <row r="30" spans="1:8" x14ac:dyDescent="0.45">
      <c r="A30" s="1" t="s">
        <v>1</v>
      </c>
      <c r="B30" s="1" t="s">
        <v>3</v>
      </c>
      <c r="C30" s="1"/>
      <c r="D30" s="1">
        <v>2890.99</v>
      </c>
      <c r="F30">
        <v>772</v>
      </c>
      <c r="G30" s="2" t="str">
        <f>HYPERLINK("#cash!E" &amp; MATCH(F30, cash!E:E, 0), "Go")</f>
        <v>Go</v>
      </c>
      <c r="H30">
        <v>1</v>
      </c>
    </row>
    <row r="31" spans="1:8" x14ac:dyDescent="0.45">
      <c r="A31" s="1" t="s">
        <v>23</v>
      </c>
      <c r="B31" s="1" t="s">
        <v>10</v>
      </c>
      <c r="C31" s="1"/>
      <c r="D31" s="1">
        <v>4152.75</v>
      </c>
      <c r="F31">
        <v>373</v>
      </c>
      <c r="G31" s="2" t="str">
        <f>HYPERLINK("#cash!E" &amp; MATCH(F31, cash!E:E, 0), "Go")</f>
        <v>Go</v>
      </c>
      <c r="H31">
        <v>1</v>
      </c>
    </row>
    <row r="32" spans="1:8" x14ac:dyDescent="0.45">
      <c r="A32" s="1" t="s">
        <v>12</v>
      </c>
      <c r="B32" s="1" t="s">
        <v>11</v>
      </c>
      <c r="C32" s="1"/>
      <c r="D32" s="1">
        <v>4750.3500000000004</v>
      </c>
      <c r="F32">
        <v>2006</v>
      </c>
      <c r="G32" s="2" t="str">
        <f>HYPERLINK("#cash!E" &amp; MATCH(F32, cash!E:E, 0), "Go")</f>
        <v>Go</v>
      </c>
      <c r="H32">
        <v>1</v>
      </c>
    </row>
    <row r="33" spans="1:8" x14ac:dyDescent="0.45">
      <c r="A33" s="1" t="s">
        <v>30</v>
      </c>
      <c r="B33" s="1" t="s">
        <v>31</v>
      </c>
      <c r="C33" s="1">
        <v>1477.98</v>
      </c>
      <c r="D33" s="1"/>
      <c r="F33" t="e">
        <v>#N/A</v>
      </c>
      <c r="G33" s="2" t="e">
        <f>HYPERLINK("#cash!E" &amp; MATCH(F33, cash!E:E, 0), "Go")</f>
        <v>#N/A</v>
      </c>
      <c r="H33">
        <v>3</v>
      </c>
    </row>
    <row r="34" spans="1:8" x14ac:dyDescent="0.45">
      <c r="A34" s="1" t="s">
        <v>23</v>
      </c>
      <c r="B34" s="1" t="s">
        <v>22</v>
      </c>
      <c r="C34" s="1">
        <v>1477.98</v>
      </c>
      <c r="D34" s="1"/>
      <c r="F34">
        <v>178</v>
      </c>
      <c r="G34" s="2" t="str">
        <f>HYPERLINK("#cash!E" &amp; MATCH(F34, cash!E:E, 0), "Go")</f>
        <v>Go</v>
      </c>
      <c r="H34">
        <v>3</v>
      </c>
    </row>
    <row r="35" spans="1:8" x14ac:dyDescent="0.45">
      <c r="A35" s="1" t="s">
        <v>16</v>
      </c>
      <c r="B35" s="1" t="s">
        <v>17</v>
      </c>
      <c r="C35" s="1">
        <v>1477.98</v>
      </c>
      <c r="D35" s="1"/>
      <c r="F35">
        <v>766</v>
      </c>
      <c r="G35" s="2" t="str">
        <f>HYPERLINK("#cash!E" &amp; MATCH(F35, cash!E:E, 0), "Go")</f>
        <v>Go</v>
      </c>
      <c r="H35">
        <v>3</v>
      </c>
    </row>
    <row r="36" spans="1:8" x14ac:dyDescent="0.45">
      <c r="A36" s="1" t="s">
        <v>40</v>
      </c>
      <c r="B36" s="3" t="s">
        <v>112</v>
      </c>
      <c r="C36" s="1">
        <v>25</v>
      </c>
      <c r="D36" s="1"/>
      <c r="F36">
        <v>218</v>
      </c>
      <c r="G36" s="2" t="str">
        <f>HYPERLINK("#cash!E" &amp; MATCH(F36, cash!E:E, 0), "Go")</f>
        <v>Go</v>
      </c>
      <c r="H36">
        <v>3</v>
      </c>
    </row>
    <row r="37" spans="1:8" x14ac:dyDescent="0.45">
      <c r="A37" s="1" t="s">
        <v>35</v>
      </c>
      <c r="B37" s="3" t="s">
        <v>113</v>
      </c>
      <c r="C37" s="1">
        <v>25</v>
      </c>
      <c r="D37" s="1"/>
      <c r="F37">
        <v>281</v>
      </c>
      <c r="G37" s="2" t="str">
        <f>HYPERLINK("#cash!E" &amp; MATCH(F37, cash!E:E, 0), "Go")</f>
        <v>Go</v>
      </c>
      <c r="H37">
        <v>3</v>
      </c>
    </row>
    <row r="38" spans="1:8" x14ac:dyDescent="0.45">
      <c r="A38" s="1" t="s">
        <v>34</v>
      </c>
      <c r="B38" s="3" t="s">
        <v>114</v>
      </c>
      <c r="C38" s="1">
        <v>25</v>
      </c>
      <c r="D38" s="1"/>
      <c r="F38">
        <v>310</v>
      </c>
      <c r="G38" s="2" t="str">
        <f>HYPERLINK("#cash!E" &amp; MATCH(F38, cash!E:E, 0), "Go")</f>
        <v>Go</v>
      </c>
      <c r="H38">
        <v>3</v>
      </c>
    </row>
  </sheetData>
  <sortState xmlns:xlrd2="http://schemas.microsoft.com/office/spreadsheetml/2017/richdata2" ref="A2:H38">
    <sortCondition ref="H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cash</vt:lpstr>
      <vt:lpstr>bank</vt:lpstr>
      <vt:lpstr>cash!Print_Titles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Patrick Vinson</cp:lastModifiedBy>
  <dcterms:created xsi:type="dcterms:W3CDTF">2023-11-07T15:00:33Z</dcterms:created>
  <dcterms:modified xsi:type="dcterms:W3CDTF">2024-05-14T21:09:53Z</dcterms:modified>
</cp:coreProperties>
</file>